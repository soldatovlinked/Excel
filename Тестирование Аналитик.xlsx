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ldatove\Desktop\Academica\Final_project_imp\"/>
    </mc:Choice>
  </mc:AlternateContent>
  <xr:revisionPtr revIDLastSave="0" documentId="13_ncr:1_{A8A6A924-8249-4D5A-B866-A8E7676DCA85}" xr6:coauthVersionLast="47" xr6:coauthVersionMax="47" xr10:uidLastSave="{00000000-0000-0000-0000-000000000000}"/>
  <bookViews>
    <workbookView xWindow="503" yWindow="915" windowWidth="24255" windowHeight="14115" xr2:uid="{00000000-000D-0000-FFFF-FFFF00000000}"/>
  </bookViews>
  <sheets>
    <sheet name="Сводная таблица" sheetId="3" r:id="rId1"/>
    <sheet name="График по неделям" sheetId="5" r:id="rId2"/>
    <sheet name="Лист1" sheetId="1" r:id="rId3"/>
    <sheet name="Лист2" sheetId="2" r:id="rId4"/>
  </sheets>
  <definedNames>
    <definedName name="_xlnm._FilterDatabase" localSheetId="2" hidden="1">Лист1!$A$1:$I$505</definedName>
    <definedName name="_xlnm._FilterDatabase" localSheetId="3" hidden="1">Лист2!$A$1:$E$505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3" i="1"/>
  <c r="H4" i="1"/>
  <c r="H5" i="1"/>
  <c r="H2" i="1"/>
  <c r="G3" i="1" a="1"/>
  <c r="G3" i="1" s="1"/>
  <c r="G4" i="1" a="1"/>
  <c r="G4" i="1" s="1"/>
  <c r="G5" i="1" a="1"/>
  <c r="G5" i="1" s="1"/>
  <c r="G6" i="1" a="1"/>
  <c r="G6" i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/>
  <c r="G173" i="1" a="1"/>
  <c r="G173" i="1" s="1"/>
  <c r="G174" i="1" a="1"/>
  <c r="G174" i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/>
  <c r="G437" i="1" a="1"/>
  <c r="G437" i="1" s="1"/>
  <c r="G438" i="1" a="1"/>
  <c r="G438" i="1" s="1"/>
  <c r="G439" i="1" a="1"/>
  <c r="G439" i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 s="1"/>
  <c r="F69" i="1" a="1"/>
  <c r="F69" i="1" s="1"/>
  <c r="F70" i="1" a="1"/>
  <c r="F70" i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 s="1"/>
  <c r="F101" i="1" a="1"/>
  <c r="F101" i="1" s="1"/>
  <c r="F102" i="1" a="1"/>
  <c r="F102" i="1"/>
  <c r="F103" i="1" a="1"/>
  <c r="F103" i="1" s="1"/>
  <c r="F104" i="1" a="1"/>
  <c r="F104" i="1" s="1"/>
  <c r="F105" i="1" a="1"/>
  <c r="F105" i="1" s="1"/>
  <c r="F106" i="1" a="1"/>
  <c r="F106" i="1"/>
  <c r="F107" i="1" a="1"/>
  <c r="F107" i="1" s="1"/>
  <c r="F108" i="1" a="1"/>
  <c r="F108" i="1" s="1"/>
  <c r="F109" i="1" a="1"/>
  <c r="F109" i="1" s="1"/>
  <c r="F110" i="1" a="1"/>
  <c r="F110" i="1"/>
  <c r="F111" i="1" a="1"/>
  <c r="F111" i="1" s="1"/>
  <c r="F112" i="1" a="1"/>
  <c r="F112" i="1" s="1"/>
  <c r="F113" i="1" a="1"/>
  <c r="F113" i="1" s="1"/>
  <c r="F114" i="1" a="1"/>
  <c r="F114" i="1"/>
  <c r="F115" i="1" a="1"/>
  <c r="F115" i="1" s="1"/>
  <c r="F116" i="1" a="1"/>
  <c r="F116" i="1" s="1"/>
  <c r="F117" i="1" a="1"/>
  <c r="F117" i="1" s="1"/>
  <c r="F118" i="1" a="1"/>
  <c r="F118" i="1"/>
  <c r="F119" i="1" a="1"/>
  <c r="F119" i="1" s="1"/>
  <c r="F120" i="1" a="1"/>
  <c r="F120" i="1" s="1"/>
  <c r="F121" i="1" a="1"/>
  <c r="F121" i="1" s="1"/>
  <c r="F122" i="1" a="1"/>
  <c r="F122" i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/>
  <c r="F210" i="1" a="1"/>
  <c r="F210" i="1" s="1"/>
  <c r="F211" i="1" a="1"/>
  <c r="F211" i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/>
  <c r="F218" i="1" a="1"/>
  <c r="F218" i="1" s="1"/>
  <c r="F219" i="1" a="1"/>
  <c r="F219" i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/>
  <c r="F226" i="1" a="1"/>
  <c r="F226" i="1" s="1"/>
  <c r="F227" i="1" a="1"/>
  <c r="F227" i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/>
  <c r="F234" i="1" a="1"/>
  <c r="F234" i="1" s="1"/>
  <c r="F235" i="1" a="1"/>
  <c r="F235" i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/>
  <c r="F242" i="1" a="1"/>
  <c r="F242" i="1" s="1"/>
  <c r="F243" i="1" a="1"/>
  <c r="F243" i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/>
  <c r="F250" i="1" a="1"/>
  <c r="F250" i="1" s="1"/>
  <c r="F251" i="1" a="1"/>
  <c r="F251" i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/>
  <c r="F258" i="1" a="1"/>
  <c r="F258" i="1" s="1"/>
  <c r="F259" i="1" a="1"/>
  <c r="F259" i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/>
  <c r="F266" i="1" a="1"/>
  <c r="F266" i="1" s="1"/>
  <c r="F267" i="1" a="1"/>
  <c r="F267" i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/>
  <c r="F274" i="1" a="1"/>
  <c r="F274" i="1" s="1"/>
  <c r="F275" i="1" a="1"/>
  <c r="F275" i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/>
  <c r="F282" i="1" a="1"/>
  <c r="F282" i="1" s="1"/>
  <c r="F283" i="1" a="1"/>
  <c r="F283" i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/>
  <c r="F290" i="1" a="1"/>
  <c r="F290" i="1" s="1"/>
  <c r="F291" i="1" a="1"/>
  <c r="F291" i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/>
  <c r="F300" i="1" a="1"/>
  <c r="F300" i="1" s="1"/>
  <c r="F301" i="1" a="1"/>
  <c r="F301" i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16" i="1" a="1"/>
  <c r="E16" i="1" s="1"/>
  <c r="E17" i="1" a="1"/>
  <c r="E17" i="1"/>
  <c r="E18" i="1" a="1"/>
  <c r="E18" i="1" s="1"/>
  <c r="E19" i="1" a="1"/>
  <c r="E19" i="1"/>
  <c r="E20" i="1" a="1"/>
  <c r="E20" i="1" s="1"/>
  <c r="E21" i="1" a="1"/>
  <c r="E21" i="1"/>
  <c r="E22" i="1" a="1"/>
  <c r="E22" i="1" s="1"/>
  <c r="E23" i="1" a="1"/>
  <c r="E23" i="1"/>
  <c r="E24" i="1" a="1"/>
  <c r="E24" i="1" s="1"/>
  <c r="E25" i="1" a="1"/>
  <c r="E25" i="1"/>
  <c r="E26" i="1" a="1"/>
  <c r="E26" i="1" s="1"/>
  <c r="E27" i="1" a="1"/>
  <c r="E27" i="1"/>
  <c r="E28" i="1" a="1"/>
  <c r="E28" i="1" s="1"/>
  <c r="E29" i="1" a="1"/>
  <c r="E29" i="1"/>
  <c r="E30" i="1" a="1"/>
  <c r="E30" i="1" s="1"/>
  <c r="E31" i="1" a="1"/>
  <c r="E31" i="1"/>
  <c r="E32" i="1" a="1"/>
  <c r="E32" i="1" s="1"/>
  <c r="E33" i="1" a="1"/>
  <c r="E33" i="1"/>
  <c r="E34" i="1" a="1"/>
  <c r="E34" i="1" s="1"/>
  <c r="E35" i="1" a="1"/>
  <c r="E35" i="1"/>
  <c r="E36" i="1" a="1"/>
  <c r="E36" i="1" s="1"/>
  <c r="E37" i="1" a="1"/>
  <c r="E37" i="1"/>
  <c r="E38" i="1" a="1"/>
  <c r="E38" i="1" s="1"/>
  <c r="E39" i="1" a="1"/>
  <c r="E39" i="1"/>
  <c r="E40" i="1" a="1"/>
  <c r="E40" i="1" s="1"/>
  <c r="E41" i="1" a="1"/>
  <c r="E41" i="1"/>
  <c r="E42" i="1" a="1"/>
  <c r="E42" i="1" s="1"/>
  <c r="E43" i="1" a="1"/>
  <c r="E43" i="1"/>
  <c r="E44" i="1" a="1"/>
  <c r="E44" i="1" s="1"/>
  <c r="E45" i="1" a="1"/>
  <c r="E45" i="1"/>
  <c r="E46" i="1" a="1"/>
  <c r="E46" i="1" s="1"/>
  <c r="E47" i="1" a="1"/>
  <c r="E47" i="1"/>
  <c r="E48" i="1" a="1"/>
  <c r="E48" i="1" s="1"/>
  <c r="E49" i="1" a="1"/>
  <c r="E49" i="1"/>
  <c r="E50" i="1" a="1"/>
  <c r="E50" i="1" s="1"/>
  <c r="E51" i="1" a="1"/>
  <c r="E51" i="1"/>
  <c r="E52" i="1" a="1"/>
  <c r="E52" i="1" s="1"/>
  <c r="E53" i="1" a="1"/>
  <c r="E53" i="1"/>
  <c r="E54" i="1" a="1"/>
  <c r="E54" i="1" s="1"/>
  <c r="E55" i="1" a="1"/>
  <c r="E55" i="1"/>
  <c r="E56" i="1" a="1"/>
  <c r="E56" i="1" s="1"/>
  <c r="E57" i="1" a="1"/>
  <c r="E57" i="1"/>
  <c r="E58" i="1" a="1"/>
  <c r="E58" i="1" s="1"/>
  <c r="E59" i="1" a="1"/>
  <c r="E59" i="1"/>
  <c r="E60" i="1" a="1"/>
  <c r="E60" i="1" s="1"/>
  <c r="E61" i="1" a="1"/>
  <c r="E61" i="1"/>
  <c r="E62" i="1" a="1"/>
  <c r="E62" i="1" s="1"/>
  <c r="E63" i="1" a="1"/>
  <c r="E63" i="1"/>
  <c r="E64" i="1" a="1"/>
  <c r="E64" i="1" s="1"/>
  <c r="E65" i="1" a="1"/>
  <c r="E65" i="1"/>
  <c r="E66" i="1" a="1"/>
  <c r="E66" i="1" s="1"/>
  <c r="E67" i="1" a="1"/>
  <c r="E67" i="1"/>
  <c r="E68" i="1" a="1"/>
  <c r="E68" i="1" s="1"/>
  <c r="E69" i="1" a="1"/>
  <c r="E69" i="1"/>
  <c r="E70" i="1" a="1"/>
  <c r="E70" i="1" s="1"/>
  <c r="E71" i="1" a="1"/>
  <c r="E71" i="1"/>
  <c r="E72" i="1" a="1"/>
  <c r="E72" i="1" s="1"/>
  <c r="E73" i="1" a="1"/>
  <c r="E73" i="1"/>
  <c r="E74" i="1" a="1"/>
  <c r="E74" i="1" s="1"/>
  <c r="E75" i="1" a="1"/>
  <c r="E75" i="1"/>
  <c r="E76" i="1" a="1"/>
  <c r="E76" i="1" s="1"/>
  <c r="E77" i="1" a="1"/>
  <c r="E77" i="1"/>
  <c r="E78" i="1" a="1"/>
  <c r="E78" i="1" s="1"/>
  <c r="E79" i="1" a="1"/>
  <c r="E79" i="1"/>
  <c r="E80" i="1" a="1"/>
  <c r="E80" i="1" s="1"/>
  <c r="E81" i="1" a="1"/>
  <c r="E81" i="1"/>
  <c r="E82" i="1" a="1"/>
  <c r="E82" i="1" s="1"/>
  <c r="E83" i="1" a="1"/>
  <c r="E83" i="1"/>
  <c r="E84" i="1" a="1"/>
  <c r="E84" i="1" s="1"/>
  <c r="E85" i="1" a="1"/>
  <c r="E85" i="1"/>
  <c r="E86" i="1" a="1"/>
  <c r="E86" i="1" s="1"/>
  <c r="E87" i="1" a="1"/>
  <c r="E87" i="1"/>
  <c r="E88" i="1" a="1"/>
  <c r="E88" i="1" s="1"/>
  <c r="E89" i="1" a="1"/>
  <c r="E89" i="1"/>
  <c r="E90" i="1" a="1"/>
  <c r="E90" i="1" s="1"/>
  <c r="E91" i="1" a="1"/>
  <c r="E91" i="1"/>
  <c r="E92" i="1" a="1"/>
  <c r="E92" i="1" s="1"/>
  <c r="E93" i="1" a="1"/>
  <c r="E93" i="1"/>
  <c r="E94" i="1" a="1"/>
  <c r="E94" i="1" s="1"/>
  <c r="E95" i="1" a="1"/>
  <c r="E95" i="1"/>
  <c r="E96" i="1" a="1"/>
  <c r="E96" i="1" s="1"/>
  <c r="E97" i="1" a="1"/>
  <c r="E97" i="1"/>
  <c r="E98" i="1" a="1"/>
  <c r="E98" i="1" s="1"/>
  <c r="E99" i="1" a="1"/>
  <c r="E99" i="1"/>
  <c r="E100" i="1" a="1"/>
  <c r="E100" i="1" s="1"/>
  <c r="E101" i="1" a="1"/>
  <c r="E101" i="1"/>
  <c r="E102" i="1" a="1"/>
  <c r="E102" i="1" s="1"/>
  <c r="E103" i="1" a="1"/>
  <c r="E103" i="1"/>
  <c r="E104" i="1" a="1"/>
  <c r="E104" i="1" s="1"/>
  <c r="E105" i="1" a="1"/>
  <c r="E105" i="1"/>
  <c r="E106" i="1" a="1"/>
  <c r="E106" i="1" s="1"/>
  <c r="E107" i="1" a="1"/>
  <c r="E107" i="1"/>
  <c r="E108" i="1" a="1"/>
  <c r="E108" i="1" s="1"/>
  <c r="E109" i="1" a="1"/>
  <c r="E109" i="1"/>
  <c r="E110" i="1" a="1"/>
  <c r="E110" i="1" s="1"/>
  <c r="E111" i="1" a="1"/>
  <c r="E111" i="1"/>
  <c r="E112" i="1" a="1"/>
  <c r="E112" i="1" s="1"/>
  <c r="E113" i="1" a="1"/>
  <c r="E113" i="1"/>
  <c r="E114" i="1" a="1"/>
  <c r="E114" i="1" s="1"/>
  <c r="E115" i="1" a="1"/>
  <c r="E115" i="1"/>
  <c r="E116" i="1" a="1"/>
  <c r="E116" i="1" s="1"/>
  <c r="E117" i="1" a="1"/>
  <c r="E117" i="1"/>
  <c r="E118" i="1" a="1"/>
  <c r="E118" i="1" s="1"/>
  <c r="E119" i="1" a="1"/>
  <c r="E119" i="1"/>
  <c r="E120" i="1" a="1"/>
  <c r="E120" i="1" s="1"/>
  <c r="E121" i="1" a="1"/>
  <c r="E121" i="1"/>
  <c r="E122" i="1" a="1"/>
  <c r="E122" i="1" s="1"/>
  <c r="E123" i="1" a="1"/>
  <c r="E123" i="1"/>
  <c r="E124" i="1" a="1"/>
  <c r="E124" i="1" s="1"/>
  <c r="E125" i="1" a="1"/>
  <c r="E125" i="1"/>
  <c r="E126" i="1" a="1"/>
  <c r="E126" i="1" s="1"/>
  <c r="E127" i="1" a="1"/>
  <c r="E127" i="1"/>
  <c r="E128" i="1" a="1"/>
  <c r="E128" i="1" s="1"/>
  <c r="E129" i="1" a="1"/>
  <c r="E129" i="1"/>
  <c r="E130" i="1" a="1"/>
  <c r="E130" i="1" s="1"/>
  <c r="E131" i="1" a="1"/>
  <c r="E131" i="1"/>
  <c r="E132" i="1" a="1"/>
  <c r="E132" i="1" s="1"/>
  <c r="E133" i="1" a="1"/>
  <c r="E133" i="1"/>
  <c r="E134" i="1" a="1"/>
  <c r="E134" i="1" s="1"/>
  <c r="E135" i="1" a="1"/>
  <c r="E135" i="1"/>
  <c r="E136" i="1" a="1"/>
  <c r="E136" i="1" s="1"/>
  <c r="E137" i="1" a="1"/>
  <c r="E137" i="1"/>
  <c r="E138" i="1" a="1"/>
  <c r="E138" i="1" s="1"/>
  <c r="E139" i="1" a="1"/>
  <c r="E139" i="1"/>
  <c r="E140" i="1" a="1"/>
  <c r="E140" i="1" s="1"/>
  <c r="E141" i="1" a="1"/>
  <c r="E141" i="1"/>
  <c r="E142" i="1" a="1"/>
  <c r="E142" i="1" s="1"/>
  <c r="E143" i="1" a="1"/>
  <c r="E143" i="1"/>
  <c r="E144" i="1" a="1"/>
  <c r="E144" i="1" s="1"/>
  <c r="E145" i="1" a="1"/>
  <c r="E145" i="1"/>
  <c r="E146" i="1" a="1"/>
  <c r="E146" i="1" s="1"/>
  <c r="E147" i="1" a="1"/>
  <c r="E147" i="1"/>
  <c r="E148" i="1" a="1"/>
  <c r="E148" i="1" s="1"/>
  <c r="E149" i="1" a="1"/>
  <c r="E149" i="1"/>
  <c r="E150" i="1" a="1"/>
  <c r="E150" i="1" s="1"/>
  <c r="E151" i="1" a="1"/>
  <c r="E151" i="1"/>
  <c r="E152" i="1" a="1"/>
  <c r="E152" i="1" s="1"/>
  <c r="E153" i="1" a="1"/>
  <c r="E153" i="1"/>
  <c r="E154" i="1" a="1"/>
  <c r="E154" i="1" s="1"/>
  <c r="E155" i="1" a="1"/>
  <c r="E155" i="1"/>
  <c r="E156" i="1" a="1"/>
  <c r="E156" i="1" s="1"/>
  <c r="E157" i="1" a="1"/>
  <c r="E157" i="1"/>
  <c r="E158" i="1" a="1"/>
  <c r="E158" i="1" s="1"/>
  <c r="E159" i="1" a="1"/>
  <c r="E159" i="1"/>
  <c r="E160" i="1" a="1"/>
  <c r="E160" i="1" s="1"/>
  <c r="E161" i="1" a="1"/>
  <c r="E161" i="1"/>
  <c r="E162" i="1" a="1"/>
  <c r="E162" i="1" s="1"/>
  <c r="E163" i="1" a="1"/>
  <c r="E163" i="1"/>
  <c r="E164" i="1" a="1"/>
  <c r="E164" i="1" s="1"/>
  <c r="E165" i="1" a="1"/>
  <c r="E165" i="1"/>
  <c r="E166" i="1" a="1"/>
  <c r="E166" i="1" s="1"/>
  <c r="E167" i="1" a="1"/>
  <c r="E167" i="1"/>
  <c r="E168" i="1" a="1"/>
  <c r="E168" i="1" s="1"/>
  <c r="E169" i="1" a="1"/>
  <c r="E169" i="1"/>
  <c r="E170" i="1" a="1"/>
  <c r="E170" i="1" s="1"/>
  <c r="E171" i="1" a="1"/>
  <c r="E171" i="1"/>
  <c r="E172" i="1" a="1"/>
  <c r="E172" i="1" s="1"/>
  <c r="E173" i="1" a="1"/>
  <c r="E173" i="1"/>
  <c r="E174" i="1" a="1"/>
  <c r="E174" i="1" s="1"/>
  <c r="E175" i="1" a="1"/>
  <c r="E175" i="1"/>
  <c r="E176" i="1" a="1"/>
  <c r="E176" i="1" s="1"/>
  <c r="E177" i="1" a="1"/>
  <c r="E177" i="1"/>
  <c r="E178" i="1" a="1"/>
  <c r="E178" i="1" s="1"/>
  <c r="E179" i="1" a="1"/>
  <c r="E179" i="1"/>
  <c r="E180" i="1" a="1"/>
  <c r="E180" i="1" s="1"/>
  <c r="E181" i="1" a="1"/>
  <c r="E181" i="1"/>
  <c r="E182" i="1" a="1"/>
  <c r="E182" i="1" s="1"/>
  <c r="E183" i="1" a="1"/>
  <c r="E183" i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/>
  <c r="E357" i="1" a="1"/>
  <c r="E357" i="1" s="1"/>
  <c r="E358" i="1" a="1"/>
  <c r="E358" i="1"/>
  <c r="E359" i="1" a="1"/>
  <c r="E359" i="1" s="1"/>
  <c r="E360" i="1" a="1"/>
  <c r="E360" i="1" s="1"/>
  <c r="E361" i="1" a="1"/>
  <c r="E361" i="1" s="1"/>
  <c r="E362" i="1" a="1"/>
  <c r="E362" i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/>
  <c r="E379" i="1" a="1"/>
  <c r="E379" i="1" s="1"/>
  <c r="E380" i="1" a="1"/>
  <c r="E380" i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/>
  <c r="E387" i="1" a="1"/>
  <c r="E387" i="1" s="1"/>
  <c r="E388" i="1" a="1"/>
  <c r="E388" i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/>
  <c r="E395" i="1" a="1"/>
  <c r="E395" i="1" s="1"/>
  <c r="E396" i="1" a="1"/>
  <c r="E396" i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/>
  <c r="E403" i="1" a="1"/>
  <c r="E403" i="1" s="1"/>
  <c r="E404" i="1" a="1"/>
  <c r="E404" i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/>
  <c r="E411" i="1" a="1"/>
  <c r="E411" i="1" s="1"/>
  <c r="E412" i="1" a="1"/>
  <c r="E412" i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/>
  <c r="E419" i="1" a="1"/>
  <c r="E419" i="1" s="1"/>
  <c r="E420" i="1" a="1"/>
  <c r="E420" i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/>
  <c r="E427" i="1" a="1"/>
  <c r="E427" i="1" s="1"/>
  <c r="E428" i="1" a="1"/>
  <c r="E428" i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/>
  <c r="E435" i="1" a="1"/>
  <c r="E435" i="1" s="1"/>
  <c r="E436" i="1" a="1"/>
  <c r="E436" i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/>
  <c r="E443" i="1" a="1"/>
  <c r="E443" i="1" s="1"/>
  <c r="E444" i="1" a="1"/>
  <c r="E444" i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/>
  <c r="E451" i="1" a="1"/>
  <c r="E451" i="1" s="1"/>
  <c r="E452" i="1" a="1"/>
  <c r="E452" i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/>
  <c r="E459" i="1" a="1"/>
  <c r="E459" i="1" s="1"/>
  <c r="E460" i="1" a="1"/>
  <c r="E460" i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/>
  <c r="E467" i="1" a="1"/>
  <c r="E467" i="1" s="1"/>
  <c r="E468" i="1" a="1"/>
  <c r="E468" i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/>
  <c r="E475" i="1" a="1"/>
  <c r="E475" i="1" s="1"/>
  <c r="E476" i="1" a="1"/>
  <c r="E476" i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/>
  <c r="E483" i="1" a="1"/>
  <c r="E483" i="1" s="1"/>
  <c r="E484" i="1" a="1"/>
  <c r="E484" i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/>
  <c r="E491" i="1" a="1"/>
  <c r="E491" i="1" s="1"/>
  <c r="E492" i="1" a="1"/>
  <c r="E492" i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/>
  <c r="E499" i="1" a="1"/>
  <c r="E499" i="1" s="1"/>
  <c r="E500" i="1" a="1"/>
  <c r="E500" i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<sst xmlns="http://schemas.openxmlformats.org/spreadsheetml/2006/main" count="1064" uniqueCount="37">
  <si>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</si>
  <si>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</si>
  <si>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</si>
  <si>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</si>
  <si>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</si>
  <si>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</si>
  <si>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</si>
  <si>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</si>
  <si>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</si>
  <si>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</si>
  <si>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</si>
  <si>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</si>
  <si>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</si>
  <si>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</si>
  <si>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</si>
  <si>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</si>
  <si>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</si>
  <si>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</si>
  <si>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</si>
  <si>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</si>
  <si>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</si>
  <si>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</si>
  <si>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</si>
  <si>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</si>
  <si>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</si>
  <si>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</si>
  <si>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</si>
  <si>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</si>
  <si>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</si>
  <si>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Товарооборот, шт</t>
  </si>
  <si>
    <t>Sum of Товарооборот, руб</t>
  </si>
  <si>
    <t>Sum of Количество складов</t>
  </si>
  <si>
    <t>Sum of Количество заказов</t>
  </si>
  <si>
    <t>Sum of Количество клиентов</t>
  </si>
  <si>
    <t>Sum of Товарооборот на склад</t>
  </si>
  <si>
    <t>Топ-3 территорий по доле в общем товарообороте</t>
  </si>
  <si>
    <t>Топ-3 территорий 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</si>
</sst>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3" xfId="0" applyFont="1" applyBorder="1"/>
    <xf numFmtId="0" fontId="3" fillId="0" borderId="4" xfId="0" applyFont="1" applyBorder="1"/>
    <xf numFmtId="164" fontId="3" fillId="0" borderId="0" xfId="0" applyNumberFormat="1" applyFont="1"/>
    <xf numFmtId="164" fontId="3" fillId="3" borderId="3" xfId="0" applyNumberFormat="1" applyFont="1" applyFill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2" fillId="2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5" fillId="0" borderId="6" xfId="0" applyFont="1" applyBorder="1" applyAlignment="1">
      <alignment horizontal="left"/>
    </xf>
    <xf numFmtId="0" fontId="5" fillId="0" borderId="6" xfId="0" applyNumberFormat="1" applyFont="1" applyBorder="1" applyAlignment="1"/>
    <xf numFmtId="0" fontId="5" fillId="0" borderId="6" xfId="0" applyFont="1" applyFill="1" applyBorder="1" applyAlignment="1"/>
    <xf numFmtId="0" fontId="5" fillId="0" borderId="6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NumberFormat="1" applyFont="1" applyBorder="1" applyAlignment="1"/>
    <xf numFmtId="0" fontId="5" fillId="4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5" fillId="0" borderId="0" xfId="0" applyFont="1" applyAlignment="1">
      <alignment horizontal="left" indent="1"/>
    </xf>
    <xf numFmtId="0" fontId="5" fillId="0" borderId="0" xfId="0" applyNumberFormat="1" applyFont="1" applyAlignment="1"/>
    <xf numFmtId="0" fontId="0" fillId="5" borderId="0" xfId="0" applyFont="1" applyFill="1" applyAlignment="1"/>
    <xf numFmtId="0" fontId="1" fillId="0" borderId="0" xfId="0" applyFont="1" applyAlignme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Аналитик.xlsx]График по неделям!PivotTable1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gency FB" panose="020B0503020202020204" pitchFamily="34" charset="0"/>
                <a:ea typeface="+mn-ea"/>
                <a:cs typeface="+mn-cs"/>
              </a:defRPr>
            </a:pPr>
            <a:r>
              <a:rPr lang="ru-RU" sz="1200" b="0" i="0" u="none" strike="noStrike" baseline="0">
                <a:effectLst/>
                <a:latin typeface="Century Gothic" panose="020B0502020202020204" pitchFamily="34" charset="0"/>
              </a:rPr>
              <a:t>Динамика товарооборота и товарооборота на склад</a:t>
            </a:r>
            <a:br>
              <a:rPr lang="ru-RU" sz="1200" b="0" i="0" u="none" strike="noStrike" baseline="0">
                <a:effectLst/>
                <a:latin typeface="Century Gothic" panose="020B0502020202020204" pitchFamily="34" charset="0"/>
              </a:rPr>
            </a:br>
            <a:r>
              <a:rPr lang="ru-RU" sz="1200" b="0" i="0" u="none" strike="noStrike" baseline="0">
                <a:effectLst/>
                <a:latin typeface="Century Gothic" panose="020B0502020202020204" pitchFamily="34" charset="0"/>
              </a:rPr>
              <a:t>по неделям</a:t>
            </a:r>
            <a:endParaRPr lang="en-US" sz="1200">
              <a:latin typeface="Century Gothic" panose="020B0502020202020204" pitchFamily="34" charset="0"/>
            </a:endParaRPr>
          </a:p>
        </c:rich>
      </c:tx>
      <c:layout>
        <c:manualLayout>
          <c:xMode val="edge"/>
          <c:yMode val="edge"/>
          <c:x val="0.3661183730936951"/>
          <c:y val="7.967382862458240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gency FB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FFFF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61874387254696E-2"/>
          <c:y val="0.14744554916265296"/>
          <c:w val="0.84792029981931771"/>
          <c:h val="0.72103852179817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'График по неделям'!$L$2</c:f>
              <c:strCache>
                <c:ptCount val="1"/>
                <c:pt idx="0">
                  <c:v>Sum of Товарооборот, шт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'График по неделям'!$K$3:$K$9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по неделям'!$L$3:$L$9</c:f>
              <c:numCache>
                <c:formatCode>General</c:formatCode>
                <c:ptCount val="6"/>
                <c:pt idx="0">
                  <c:v>8240286</c:v>
                </c:pt>
                <c:pt idx="1">
                  <c:v>9783292.5</c:v>
                </c:pt>
                <c:pt idx="2">
                  <c:v>9594378</c:v>
                </c:pt>
                <c:pt idx="3">
                  <c:v>10475296.5</c:v>
                </c:pt>
                <c:pt idx="4">
                  <c:v>10730598</c:v>
                </c:pt>
                <c:pt idx="5">
                  <c:v>1354929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336-A7BA-43F0CFE90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083503"/>
        <c:axId val="1532083983"/>
      </c:barChart>
      <c:lineChart>
        <c:grouping val="standard"/>
        <c:varyColors val="0"/>
        <c:ser>
          <c:idx val="1"/>
          <c:order val="1"/>
          <c:tx>
            <c:strRef>
              <c:f>'График по неделям'!$M$2</c:f>
              <c:strCache>
                <c:ptCount val="1"/>
                <c:pt idx="0">
                  <c:v>Sum of Товарооборот на склад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'График по неделям'!$K$3:$K$9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по неделям'!$M$3:$M$9</c:f>
              <c:numCache>
                <c:formatCode>General</c:formatCode>
                <c:ptCount val="6"/>
                <c:pt idx="0">
                  <c:v>156122.40000000002</c:v>
                </c:pt>
                <c:pt idx="1">
                  <c:v>186417.60000000006</c:v>
                </c:pt>
                <c:pt idx="2">
                  <c:v>186765.90000000005</c:v>
                </c:pt>
                <c:pt idx="3">
                  <c:v>205470.30000000005</c:v>
                </c:pt>
                <c:pt idx="4">
                  <c:v>218169.30000000002</c:v>
                </c:pt>
                <c:pt idx="5">
                  <c:v>29161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9-4336-A7BA-43F0CFE90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402943"/>
        <c:axId val="1521401503"/>
      </c:lineChart>
      <c:catAx>
        <c:axId val="153208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r>
                  <a:rPr lang="ru-RU" sz="1200" b="0" baseline="0">
                    <a:latin typeface="Century Gothic" panose="020B0502020202020204" pitchFamily="34" charset="0"/>
                  </a:rPr>
                  <a:t>№ недели</a:t>
                </a:r>
                <a:endParaRPr lang="en-US" sz="1200" b="0">
                  <a:latin typeface="Century Gothic" panose="020B0502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040950120945977"/>
              <c:y val="0.89506292821570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532083983"/>
        <c:crosses val="autoZero"/>
        <c:auto val="1"/>
        <c:lblAlgn val="ctr"/>
        <c:lblOffset val="100"/>
        <c:noMultiLvlLbl val="0"/>
      </c:catAx>
      <c:valAx>
        <c:axId val="153208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40000"/>
                    <a:lumOff val="60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532083503"/>
        <c:crosses val="autoZero"/>
        <c:crossBetween val="between"/>
      </c:valAx>
      <c:valAx>
        <c:axId val="15214015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FF00"/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521402943"/>
        <c:crosses val="max"/>
        <c:crossBetween val="between"/>
      </c:valAx>
      <c:catAx>
        <c:axId val="1521402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401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6704355986547141E-2"/>
          <c:y val="0.93707510403659156"/>
          <c:w val="0.88086901424477271"/>
          <c:h val="5.8508310063319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Agency FB" panose="020B05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83342</xdr:colOff>
      <xdr:row>0</xdr:row>
      <xdr:rowOff>95249</xdr:rowOff>
    </xdr:from>
    <xdr:to>
      <xdr:col>9</xdr:col>
      <xdr:colOff>581024</xdr:colOff>
      <xdr:row>33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07D420-EDBC-07E3-450C-8553D5491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datove" refreshedDate="46083.995118865743" createdVersion="8" refreshedVersion="8" minRefreshableVersion="3" recordCount="504" xr:uid="{6AF2C1E0-000B-4115-A230-BCF3E770813D}">
  <cacheSource type="worksheet">
    <worksheetSource name="Table1"/>
  </cacheSource>
  <cacheFields count="9">
    <cacheField name="Дата" numFmtId="16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85.7" maxValue="5107.3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x v="0"/>
    <n v="623971.5"/>
    <n v="15"/>
    <n v="441"/>
    <n v="368"/>
    <n v="529.6"/>
    <x v="0"/>
  </r>
  <r>
    <x v="1"/>
    <x v="0"/>
    <x v="1"/>
    <n v="787101"/>
    <n v="15"/>
    <n v="490"/>
    <n v="409"/>
    <n v="668.6"/>
    <x v="0"/>
  </r>
  <r>
    <x v="2"/>
    <x v="0"/>
    <x v="2"/>
    <n v="643944"/>
    <n v="15"/>
    <n v="464"/>
    <n v="390"/>
    <n v="569.1"/>
    <x v="0"/>
  </r>
  <r>
    <x v="3"/>
    <x v="1"/>
    <x v="3"/>
    <n v="3395892"/>
    <n v="21"/>
    <n v="2145"/>
    <n v="1947"/>
    <n v="1854.6"/>
    <x v="1"/>
  </r>
  <r>
    <x v="4"/>
    <x v="1"/>
    <x v="4"/>
    <n v="2771116.5"/>
    <n v="21"/>
    <n v="1860"/>
    <n v="1704"/>
    <n v="1516.3"/>
    <x v="2"/>
  </r>
  <r>
    <x v="5"/>
    <x v="1"/>
    <x v="5"/>
    <n v="2882458.5"/>
    <n v="21"/>
    <n v="1874"/>
    <n v="1705"/>
    <n v="1524.9"/>
    <x v="1"/>
  </r>
  <r>
    <x v="6"/>
    <x v="1"/>
    <x v="6"/>
    <n v="2831019"/>
    <n v="21"/>
    <n v="1735"/>
    <n v="1568"/>
    <n v="1483.2"/>
    <x v="3"/>
  </r>
  <r>
    <x v="7"/>
    <x v="1"/>
    <x v="7"/>
    <n v="2372310"/>
    <n v="20"/>
    <n v="1519"/>
    <n v="1372"/>
    <n v="1278.3"/>
    <x v="3"/>
  </r>
  <r>
    <x v="8"/>
    <x v="1"/>
    <x v="8"/>
    <n v="2623480.5"/>
    <n v="18"/>
    <n v="1684"/>
    <n v="1528"/>
    <n v="1628.8"/>
    <x v="4"/>
  </r>
  <r>
    <x v="9"/>
    <x v="1"/>
    <x v="9"/>
    <n v="2711247"/>
    <n v="18"/>
    <n v="1708"/>
    <n v="1534"/>
    <n v="1612.8"/>
    <x v="4"/>
  </r>
  <r>
    <x v="10"/>
    <x v="1"/>
    <x v="10"/>
    <n v="2970330"/>
    <n v="20"/>
    <n v="2044"/>
    <n v="1863"/>
    <n v="1671.2"/>
    <x v="0"/>
  </r>
  <r>
    <x v="11"/>
    <x v="1"/>
    <x v="11"/>
    <n v="3031254"/>
    <n v="18"/>
    <n v="1826"/>
    <n v="1633"/>
    <n v="1804.8"/>
    <x v="4"/>
  </r>
  <r>
    <x v="12"/>
    <x v="1"/>
    <x v="12"/>
    <n v="2595778.5"/>
    <n v="21"/>
    <n v="1656"/>
    <n v="1516"/>
    <n v="1343.8"/>
    <x v="1"/>
  </r>
  <r>
    <x v="13"/>
    <x v="1"/>
    <x v="13"/>
    <n v="2744382"/>
    <n v="21"/>
    <n v="1787"/>
    <n v="1626"/>
    <n v="1489.1"/>
    <x v="2"/>
  </r>
  <r>
    <x v="14"/>
    <x v="1"/>
    <x v="14"/>
    <n v="2929330.5"/>
    <n v="21"/>
    <n v="1921"/>
    <n v="1767"/>
    <n v="1622.7"/>
    <x v="2"/>
  </r>
  <r>
    <x v="15"/>
    <x v="1"/>
    <x v="15"/>
    <n v="2906763"/>
    <n v="20"/>
    <n v="1773"/>
    <n v="1604"/>
    <n v="1578.3"/>
    <x v="3"/>
  </r>
  <r>
    <x v="16"/>
    <x v="1"/>
    <x v="16"/>
    <n v="2411587.5"/>
    <n v="18"/>
    <n v="1539"/>
    <n v="1404"/>
    <n v="1496.7"/>
    <x v="4"/>
  </r>
  <r>
    <x v="17"/>
    <x v="1"/>
    <x v="17"/>
    <n v="2629782"/>
    <n v="21"/>
    <n v="1698"/>
    <n v="1554"/>
    <n v="1392.4"/>
    <x v="1"/>
  </r>
  <r>
    <x v="18"/>
    <x v="1"/>
    <x v="18"/>
    <n v="2434914"/>
    <n v="20"/>
    <n v="1520"/>
    <n v="1373"/>
    <n v="1304.0999999999999"/>
    <x v="4"/>
  </r>
  <r>
    <x v="19"/>
    <x v="1"/>
    <x v="19"/>
    <n v="2938623"/>
    <n v="20"/>
    <n v="1784"/>
    <n v="1632"/>
    <n v="1625.6"/>
    <x v="3"/>
  </r>
  <r>
    <x v="20"/>
    <x v="1"/>
    <x v="20"/>
    <n v="3628726.5"/>
    <n v="21"/>
    <n v="2340"/>
    <n v="2146"/>
    <n v="2033.5"/>
    <x v="2"/>
  </r>
  <r>
    <x v="21"/>
    <x v="1"/>
    <x v="21"/>
    <n v="3176580"/>
    <n v="20"/>
    <n v="2087"/>
    <n v="1914"/>
    <n v="1779.6"/>
    <x v="0"/>
  </r>
  <r>
    <x v="22"/>
    <x v="1"/>
    <x v="22"/>
    <n v="2817196.5"/>
    <n v="19"/>
    <n v="1712"/>
    <n v="1552"/>
    <n v="1602.4"/>
    <x v="4"/>
  </r>
  <r>
    <x v="23"/>
    <x v="1"/>
    <x v="23"/>
    <n v="3312967.5"/>
    <n v="21"/>
    <n v="2016"/>
    <n v="1846"/>
    <n v="1743.8"/>
    <x v="3"/>
  </r>
  <r>
    <x v="24"/>
    <x v="1"/>
    <x v="24"/>
    <n v="2645160"/>
    <n v="21"/>
    <n v="1646"/>
    <n v="1492"/>
    <n v="1400.4"/>
    <x v="3"/>
  </r>
  <r>
    <x v="25"/>
    <x v="1"/>
    <x v="25"/>
    <n v="2472213"/>
    <n v="21"/>
    <n v="1542"/>
    <n v="1405"/>
    <n v="1286.5999999999999"/>
    <x v="3"/>
  </r>
  <r>
    <x v="26"/>
    <x v="1"/>
    <x v="26"/>
    <n v="2924746.5"/>
    <n v="20"/>
    <n v="1999"/>
    <n v="1829"/>
    <n v="1715.2"/>
    <x v="2"/>
  </r>
  <r>
    <x v="0"/>
    <x v="1"/>
    <x v="27"/>
    <n v="3473895"/>
    <n v="21"/>
    <n v="2271"/>
    <n v="2085"/>
    <n v="1761.9"/>
    <x v="0"/>
  </r>
  <r>
    <x v="1"/>
    <x v="1"/>
    <x v="28"/>
    <n v="3921784.5"/>
    <n v="20"/>
    <n v="2597"/>
    <n v="2376"/>
    <n v="2200.1"/>
    <x v="0"/>
  </r>
  <r>
    <x v="2"/>
    <x v="1"/>
    <x v="29"/>
    <n v="2827773"/>
    <n v="20"/>
    <n v="1886"/>
    <n v="1736"/>
    <n v="1549.1"/>
    <x v="0"/>
  </r>
  <r>
    <x v="3"/>
    <x v="2"/>
    <x v="30"/>
    <n v="7583758.5"/>
    <n v="31"/>
    <n v="5593"/>
    <n v="5177"/>
    <n v="2840.8"/>
    <x v="1"/>
  </r>
  <r>
    <x v="4"/>
    <x v="2"/>
    <x v="31"/>
    <n v="6815511"/>
    <n v="31"/>
    <n v="5389"/>
    <n v="5024"/>
    <n v="2710.5"/>
    <x v="2"/>
  </r>
  <r>
    <x v="5"/>
    <x v="2"/>
    <x v="32"/>
    <n v="6774946.5"/>
    <n v="31"/>
    <n v="5206"/>
    <n v="4843"/>
    <n v="2518"/>
    <x v="1"/>
  </r>
  <r>
    <x v="6"/>
    <x v="2"/>
    <x v="33"/>
    <n v="6264933"/>
    <n v="31"/>
    <n v="4556"/>
    <n v="4220"/>
    <n v="2249"/>
    <x v="3"/>
  </r>
  <r>
    <x v="7"/>
    <x v="2"/>
    <x v="34"/>
    <n v="6642249"/>
    <n v="31"/>
    <n v="4968"/>
    <n v="4596"/>
    <n v="2352.5"/>
    <x v="3"/>
  </r>
  <r>
    <x v="8"/>
    <x v="2"/>
    <x v="35"/>
    <n v="7180498.5"/>
    <n v="31"/>
    <n v="5378"/>
    <n v="4985"/>
    <n v="2565.4"/>
    <x v="4"/>
  </r>
  <r>
    <x v="9"/>
    <x v="2"/>
    <x v="36"/>
    <n v="5554192.5"/>
    <n v="31"/>
    <n v="4157"/>
    <n v="3823"/>
    <n v="1950.4"/>
    <x v="4"/>
  </r>
  <r>
    <x v="10"/>
    <x v="2"/>
    <x v="37"/>
    <n v="6676459.5"/>
    <n v="31"/>
    <n v="5493"/>
    <n v="5119"/>
    <n v="2579.9"/>
    <x v="0"/>
  </r>
  <r>
    <x v="11"/>
    <x v="2"/>
    <x v="38"/>
    <n v="8893024.5"/>
    <n v="31"/>
    <n v="6118"/>
    <n v="5564"/>
    <n v="3146.3"/>
    <x v="4"/>
  </r>
  <r>
    <x v="12"/>
    <x v="2"/>
    <x v="39"/>
    <n v="6398361"/>
    <n v="31"/>
    <n v="4800"/>
    <n v="4470"/>
    <n v="2307.1"/>
    <x v="1"/>
  </r>
  <r>
    <x v="13"/>
    <x v="2"/>
    <x v="40"/>
    <n v="6633847.5"/>
    <n v="31"/>
    <n v="5207"/>
    <n v="4868"/>
    <n v="2564"/>
    <x v="2"/>
  </r>
  <r>
    <x v="14"/>
    <x v="2"/>
    <x v="41"/>
    <n v="7247575.5"/>
    <n v="31"/>
    <n v="5698"/>
    <n v="5258"/>
    <n v="3010.1"/>
    <x v="2"/>
  </r>
  <r>
    <x v="15"/>
    <x v="2"/>
    <x v="42"/>
    <n v="6921316.5"/>
    <n v="31"/>
    <n v="5188"/>
    <n v="4800"/>
    <n v="2470.5"/>
    <x v="3"/>
  </r>
  <r>
    <x v="16"/>
    <x v="2"/>
    <x v="43"/>
    <n v="7163644.5"/>
    <n v="31"/>
    <n v="5465"/>
    <n v="5096"/>
    <n v="2639.6"/>
    <x v="4"/>
  </r>
  <r>
    <x v="17"/>
    <x v="2"/>
    <x v="44"/>
    <n v="6993952.5"/>
    <n v="31"/>
    <n v="5251"/>
    <n v="4853"/>
    <n v="2543.4"/>
    <x v="1"/>
  </r>
  <r>
    <x v="18"/>
    <x v="2"/>
    <x v="45"/>
    <n v="7013670"/>
    <n v="31"/>
    <n v="5155"/>
    <n v="4762"/>
    <n v="2492.4"/>
    <x v="4"/>
  </r>
  <r>
    <x v="19"/>
    <x v="2"/>
    <x v="46"/>
    <n v="6168657"/>
    <n v="31"/>
    <n v="4709"/>
    <n v="4348"/>
    <n v="2225.6"/>
    <x v="3"/>
  </r>
  <r>
    <x v="20"/>
    <x v="2"/>
    <x v="47"/>
    <n v="8089143"/>
    <n v="31"/>
    <n v="6276"/>
    <n v="5801"/>
    <n v="3319"/>
    <x v="2"/>
  </r>
  <r>
    <x v="21"/>
    <x v="2"/>
    <x v="48"/>
    <n v="6645603"/>
    <n v="31"/>
    <n v="5210"/>
    <n v="4841"/>
    <n v="2483.9"/>
    <x v="0"/>
  </r>
  <r>
    <x v="22"/>
    <x v="2"/>
    <x v="49"/>
    <n v="7023727.5"/>
    <n v="31"/>
    <n v="5120"/>
    <n v="4737"/>
    <n v="2502.1"/>
    <x v="4"/>
  </r>
  <r>
    <x v="23"/>
    <x v="2"/>
    <x v="50"/>
    <n v="7483194"/>
    <n v="31"/>
    <n v="5495"/>
    <n v="5093"/>
    <n v="2713.9"/>
    <x v="3"/>
  </r>
  <r>
    <x v="24"/>
    <x v="2"/>
    <x v="51"/>
    <n v="6293776.5"/>
    <n v="31"/>
    <n v="4635"/>
    <n v="4266"/>
    <n v="2243.4"/>
    <x v="3"/>
  </r>
  <r>
    <x v="25"/>
    <x v="2"/>
    <x v="52"/>
    <n v="6591883.5"/>
    <n v="31"/>
    <n v="4903"/>
    <n v="4527"/>
    <n v="2361.4"/>
    <x v="3"/>
  </r>
  <r>
    <x v="26"/>
    <x v="2"/>
    <x v="53"/>
    <n v="6451032"/>
    <n v="31"/>
    <n v="5035"/>
    <n v="4683"/>
    <n v="2473"/>
    <x v="2"/>
  </r>
  <r>
    <x v="3"/>
    <x v="3"/>
    <x v="54"/>
    <n v="1130506.5"/>
    <n v="10"/>
    <n v="760"/>
    <n v="672"/>
    <n v="1426.5"/>
    <x v="1"/>
  </r>
  <r>
    <x v="4"/>
    <x v="3"/>
    <x v="55"/>
    <n v="938764.5"/>
    <n v="10"/>
    <n v="649"/>
    <n v="568"/>
    <n v="1152.5999999999999"/>
    <x v="2"/>
  </r>
  <r>
    <x v="5"/>
    <x v="3"/>
    <x v="56"/>
    <n v="843727.5"/>
    <n v="10"/>
    <n v="591"/>
    <n v="513"/>
    <n v="1040.3"/>
    <x v="1"/>
  </r>
  <r>
    <x v="6"/>
    <x v="3"/>
    <x v="57"/>
    <n v="1046400"/>
    <n v="10"/>
    <n v="644"/>
    <n v="559"/>
    <n v="1321.7"/>
    <x v="3"/>
  </r>
  <r>
    <x v="7"/>
    <x v="3"/>
    <x v="58"/>
    <n v="728890.5"/>
    <n v="10"/>
    <n v="462"/>
    <n v="396"/>
    <n v="913.1"/>
    <x v="3"/>
  </r>
  <r>
    <x v="8"/>
    <x v="3"/>
    <x v="59"/>
    <n v="797919"/>
    <n v="10"/>
    <n v="502"/>
    <n v="433"/>
    <n v="1084.0999999999999"/>
    <x v="4"/>
  </r>
  <r>
    <x v="9"/>
    <x v="3"/>
    <x v="60"/>
    <n v="617881.5"/>
    <n v="10"/>
    <n v="416"/>
    <n v="341"/>
    <n v="786.6"/>
    <x v="4"/>
  </r>
  <r>
    <x v="10"/>
    <x v="3"/>
    <x v="61"/>
    <n v="983109"/>
    <n v="10"/>
    <n v="692"/>
    <n v="601"/>
    <n v="1183.5"/>
    <x v="0"/>
  </r>
  <r>
    <x v="11"/>
    <x v="3"/>
    <x v="62"/>
    <n v="891139.5"/>
    <n v="10"/>
    <n v="554"/>
    <n v="472"/>
    <n v="1161.9000000000001"/>
    <x v="4"/>
  </r>
  <r>
    <x v="12"/>
    <x v="3"/>
    <x v="63"/>
    <n v="732964.5"/>
    <n v="10"/>
    <n v="526"/>
    <n v="448"/>
    <n v="932.9"/>
    <x v="1"/>
  </r>
  <r>
    <x v="13"/>
    <x v="3"/>
    <x v="64"/>
    <n v="935523"/>
    <n v="10"/>
    <n v="677"/>
    <n v="591"/>
    <n v="1125"/>
    <x v="2"/>
  </r>
  <r>
    <x v="14"/>
    <x v="3"/>
    <x v="65"/>
    <n v="1037247"/>
    <n v="10"/>
    <n v="745"/>
    <n v="654"/>
    <n v="1306.4000000000001"/>
    <x v="2"/>
  </r>
  <r>
    <x v="15"/>
    <x v="3"/>
    <x v="66"/>
    <n v="793320"/>
    <n v="10"/>
    <n v="511"/>
    <n v="437"/>
    <n v="1014.8"/>
    <x v="3"/>
  </r>
  <r>
    <x v="16"/>
    <x v="3"/>
    <x v="67"/>
    <n v="869983.5"/>
    <n v="10"/>
    <n v="580"/>
    <n v="506"/>
    <n v="1233.2"/>
    <x v="4"/>
  </r>
  <r>
    <x v="17"/>
    <x v="3"/>
    <x v="68"/>
    <n v="865714.5"/>
    <n v="10"/>
    <n v="612"/>
    <n v="530"/>
    <n v="1120.2"/>
    <x v="1"/>
  </r>
  <r>
    <x v="0"/>
    <x v="2"/>
    <x v="69"/>
    <n v="7512646.5"/>
    <n v="31"/>
    <n v="5760"/>
    <n v="5367"/>
    <n v="2875.8"/>
    <x v="0"/>
  </r>
  <r>
    <x v="18"/>
    <x v="3"/>
    <x v="70"/>
    <n v="637881"/>
    <n v="10"/>
    <n v="402"/>
    <n v="333"/>
    <n v="818.6"/>
    <x v="4"/>
  </r>
  <r>
    <x v="1"/>
    <x v="2"/>
    <x v="71"/>
    <n v="9164707.5"/>
    <n v="31"/>
    <n v="6735"/>
    <n v="6264"/>
    <n v="3487.8"/>
    <x v="0"/>
  </r>
  <r>
    <x v="19"/>
    <x v="3"/>
    <x v="72"/>
    <n v="696832.5"/>
    <n v="10"/>
    <n v="465"/>
    <n v="390"/>
    <n v="921"/>
    <x v="3"/>
  </r>
  <r>
    <x v="20"/>
    <x v="3"/>
    <x v="73"/>
    <n v="1241383.5"/>
    <n v="10"/>
    <n v="828"/>
    <n v="734"/>
    <n v="1477.4"/>
    <x v="2"/>
  </r>
  <r>
    <x v="2"/>
    <x v="2"/>
    <x v="74"/>
    <n v="6641569.5"/>
    <n v="31"/>
    <n v="5355"/>
    <n v="4969"/>
    <n v="2520.6999999999998"/>
    <x v="0"/>
  </r>
  <r>
    <x v="21"/>
    <x v="3"/>
    <x v="75"/>
    <n v="1030440"/>
    <n v="10"/>
    <n v="739"/>
    <n v="642"/>
    <n v="1228.0999999999999"/>
    <x v="0"/>
  </r>
  <r>
    <x v="22"/>
    <x v="3"/>
    <x v="76"/>
    <n v="716196"/>
    <n v="10"/>
    <n v="448"/>
    <n v="376"/>
    <n v="893.4"/>
    <x v="4"/>
  </r>
  <r>
    <x v="23"/>
    <x v="3"/>
    <x v="77"/>
    <n v="1004788.5"/>
    <n v="10"/>
    <n v="642"/>
    <n v="556"/>
    <n v="1291.8"/>
    <x v="3"/>
  </r>
  <r>
    <x v="24"/>
    <x v="3"/>
    <x v="78"/>
    <n v="959703"/>
    <n v="10"/>
    <n v="638"/>
    <n v="547"/>
    <n v="1252.8"/>
    <x v="3"/>
  </r>
  <r>
    <x v="25"/>
    <x v="3"/>
    <x v="79"/>
    <n v="863754"/>
    <n v="10"/>
    <n v="563"/>
    <n v="486"/>
    <n v="1103"/>
    <x v="3"/>
  </r>
  <r>
    <x v="26"/>
    <x v="3"/>
    <x v="80"/>
    <n v="828984"/>
    <n v="10"/>
    <n v="639"/>
    <n v="557"/>
    <n v="999.5"/>
    <x v="2"/>
  </r>
  <r>
    <x v="0"/>
    <x v="3"/>
    <x v="81"/>
    <n v="1045515"/>
    <n v="10"/>
    <n v="749"/>
    <n v="655"/>
    <n v="1272.5"/>
    <x v="0"/>
  </r>
  <r>
    <x v="1"/>
    <x v="3"/>
    <x v="82"/>
    <n v="1260483"/>
    <n v="10"/>
    <n v="865"/>
    <n v="763"/>
    <n v="1472.9"/>
    <x v="0"/>
  </r>
  <r>
    <x v="2"/>
    <x v="3"/>
    <x v="83"/>
    <n v="1114552.5"/>
    <n v="10"/>
    <n v="791"/>
    <n v="697"/>
    <n v="1303.8"/>
    <x v="0"/>
  </r>
  <r>
    <x v="3"/>
    <x v="4"/>
    <x v="84"/>
    <n v="3222517.5"/>
    <n v="19"/>
    <n v="2080"/>
    <n v="1844"/>
    <n v="1867.5"/>
    <x v="1"/>
  </r>
  <r>
    <x v="4"/>
    <x v="4"/>
    <x v="85"/>
    <n v="2865337.5"/>
    <n v="19"/>
    <n v="1999"/>
    <n v="1799"/>
    <n v="1707.1"/>
    <x v="2"/>
  </r>
  <r>
    <x v="5"/>
    <x v="4"/>
    <x v="86"/>
    <n v="2694289.5"/>
    <n v="19"/>
    <n v="1871"/>
    <n v="1660"/>
    <n v="1604.5"/>
    <x v="1"/>
  </r>
  <r>
    <x v="6"/>
    <x v="4"/>
    <x v="87"/>
    <n v="2902167"/>
    <n v="19"/>
    <n v="1851"/>
    <n v="1635"/>
    <n v="1688.4"/>
    <x v="3"/>
  </r>
  <r>
    <x v="7"/>
    <x v="4"/>
    <x v="88"/>
    <n v="2450968.5"/>
    <n v="19"/>
    <n v="1582"/>
    <n v="1403"/>
    <n v="1424.8"/>
    <x v="3"/>
  </r>
  <r>
    <x v="8"/>
    <x v="4"/>
    <x v="89"/>
    <n v="2397588"/>
    <n v="18"/>
    <n v="1534"/>
    <n v="1369"/>
    <n v="1439.8"/>
    <x v="4"/>
  </r>
  <r>
    <x v="9"/>
    <x v="4"/>
    <x v="90"/>
    <n v="1799230.5"/>
    <n v="19"/>
    <n v="1217"/>
    <n v="1048"/>
    <n v="1024.3"/>
    <x v="4"/>
  </r>
  <r>
    <x v="10"/>
    <x v="4"/>
    <x v="91"/>
    <n v="2907411"/>
    <n v="20"/>
    <n v="2036"/>
    <n v="1790"/>
    <n v="1570.4"/>
    <x v="0"/>
  </r>
  <r>
    <x v="11"/>
    <x v="4"/>
    <x v="92"/>
    <n v="2374356"/>
    <n v="19"/>
    <n v="1497"/>
    <n v="1291"/>
    <n v="1357.5"/>
    <x v="4"/>
  </r>
  <r>
    <x v="12"/>
    <x v="4"/>
    <x v="93"/>
    <n v="2370432"/>
    <n v="19"/>
    <n v="1649"/>
    <n v="1460"/>
    <n v="1370.1"/>
    <x v="1"/>
  </r>
  <r>
    <x v="13"/>
    <x v="4"/>
    <x v="94"/>
    <n v="2853181.5"/>
    <n v="19"/>
    <n v="1949"/>
    <n v="1724"/>
    <n v="1668.8"/>
    <x v="2"/>
  </r>
  <r>
    <x v="14"/>
    <x v="4"/>
    <x v="95"/>
    <n v="2692230"/>
    <n v="19"/>
    <n v="1889"/>
    <n v="1690"/>
    <n v="1576.6"/>
    <x v="2"/>
  </r>
  <r>
    <x v="15"/>
    <x v="4"/>
    <x v="96"/>
    <n v="2079900"/>
    <n v="19"/>
    <n v="1417"/>
    <n v="1245"/>
    <n v="1202.5"/>
    <x v="3"/>
  </r>
  <r>
    <x v="16"/>
    <x v="4"/>
    <x v="97"/>
    <n v="2136817.5"/>
    <n v="17"/>
    <n v="1439"/>
    <n v="1265"/>
    <n v="1371.4"/>
    <x v="4"/>
  </r>
  <r>
    <x v="17"/>
    <x v="4"/>
    <x v="98"/>
    <n v="2373337.5"/>
    <n v="19"/>
    <n v="1625"/>
    <n v="1444"/>
    <n v="1392.9"/>
    <x v="1"/>
  </r>
  <r>
    <x v="18"/>
    <x v="4"/>
    <x v="99"/>
    <n v="2170309.5"/>
    <n v="19"/>
    <n v="1402"/>
    <n v="1234"/>
    <n v="1238.9000000000001"/>
    <x v="4"/>
  </r>
  <r>
    <x v="19"/>
    <x v="4"/>
    <x v="100"/>
    <n v="2232519"/>
    <n v="19"/>
    <n v="1499"/>
    <n v="1323"/>
    <n v="1298.8"/>
    <x v="3"/>
  </r>
  <r>
    <x v="20"/>
    <x v="4"/>
    <x v="101"/>
    <n v="3385372.5"/>
    <n v="20"/>
    <n v="2266"/>
    <n v="1993"/>
    <n v="1908.8"/>
    <x v="2"/>
  </r>
  <r>
    <x v="21"/>
    <x v="4"/>
    <x v="102"/>
    <n v="2865727.5"/>
    <n v="20"/>
    <n v="2011"/>
    <n v="1791"/>
    <n v="1530.2"/>
    <x v="0"/>
  </r>
  <r>
    <x v="22"/>
    <x v="4"/>
    <x v="103"/>
    <n v="2267664"/>
    <n v="19"/>
    <n v="1499"/>
    <n v="1322"/>
    <n v="1274.3"/>
    <x v="4"/>
  </r>
  <r>
    <x v="23"/>
    <x v="4"/>
    <x v="104"/>
    <n v="2862298.5"/>
    <n v="19"/>
    <n v="1848"/>
    <n v="1649"/>
    <n v="1652.6"/>
    <x v="3"/>
  </r>
  <r>
    <x v="24"/>
    <x v="4"/>
    <x v="105"/>
    <n v="2271454.5"/>
    <n v="19"/>
    <n v="1522"/>
    <n v="1340"/>
    <n v="1331.3"/>
    <x v="3"/>
  </r>
  <r>
    <x v="25"/>
    <x v="4"/>
    <x v="106"/>
    <n v="2350672.5"/>
    <n v="19"/>
    <n v="1530"/>
    <n v="1338"/>
    <n v="1340.4"/>
    <x v="3"/>
  </r>
  <r>
    <x v="26"/>
    <x v="4"/>
    <x v="107"/>
    <n v="2915533.5"/>
    <n v="20"/>
    <n v="2015"/>
    <n v="1803"/>
    <n v="1592.7"/>
    <x v="2"/>
  </r>
  <r>
    <x v="0"/>
    <x v="4"/>
    <x v="108"/>
    <n v="2991999"/>
    <n v="20"/>
    <n v="2060"/>
    <n v="1826"/>
    <n v="1618"/>
    <x v="0"/>
  </r>
  <r>
    <x v="1"/>
    <x v="4"/>
    <x v="109"/>
    <n v="3654166.5"/>
    <n v="20"/>
    <n v="2451"/>
    <n v="2178"/>
    <n v="1993.4"/>
    <x v="0"/>
  </r>
  <r>
    <x v="2"/>
    <x v="4"/>
    <x v="110"/>
    <n v="3004213.5"/>
    <n v="20"/>
    <n v="2088"/>
    <n v="1848"/>
    <n v="1598.7"/>
    <x v="0"/>
  </r>
  <r>
    <x v="3"/>
    <x v="5"/>
    <x v="111"/>
    <n v="32235864"/>
    <n v="129"/>
    <n v="17914"/>
    <n v="16631"/>
    <n v="2491.6"/>
    <x v="1"/>
  </r>
  <r>
    <x v="4"/>
    <x v="5"/>
    <x v="112"/>
    <n v="27093624"/>
    <n v="129"/>
    <n v="16191"/>
    <n v="15102"/>
    <n v="2143.9"/>
    <x v="2"/>
  </r>
  <r>
    <x v="5"/>
    <x v="5"/>
    <x v="113"/>
    <n v="26659930.5"/>
    <n v="129"/>
    <n v="15744"/>
    <n v="14685"/>
    <n v="2085.5"/>
    <x v="1"/>
  </r>
  <r>
    <x v="6"/>
    <x v="5"/>
    <x v="114"/>
    <n v="29768199"/>
    <n v="129"/>
    <n v="16420"/>
    <n v="15169"/>
    <n v="2216.8000000000002"/>
    <x v="3"/>
  </r>
  <r>
    <x v="7"/>
    <x v="5"/>
    <x v="115"/>
    <n v="29357940"/>
    <n v="129"/>
    <n v="16525"/>
    <n v="15310"/>
    <n v="2201.1"/>
    <x v="3"/>
  </r>
  <r>
    <x v="8"/>
    <x v="5"/>
    <x v="116"/>
    <n v="30869287.5"/>
    <n v="128"/>
    <n v="17368"/>
    <n v="16077"/>
    <n v="2328.6"/>
    <x v="4"/>
  </r>
  <r>
    <x v="9"/>
    <x v="5"/>
    <x v="117"/>
    <n v="24342016.5"/>
    <n v="129"/>
    <n v="14009"/>
    <n v="12920"/>
    <n v="1805.5"/>
    <x v="4"/>
  </r>
  <r>
    <x v="10"/>
    <x v="5"/>
    <x v="118"/>
    <n v="27872617.898850001"/>
    <n v="129"/>
    <n v="16459"/>
    <n v="15355"/>
    <n v="2147"/>
    <x v="0"/>
  </r>
  <r>
    <x v="11"/>
    <x v="5"/>
    <x v="119"/>
    <n v="31053316.5"/>
    <n v="129"/>
    <n v="17002"/>
    <n v="15570"/>
    <n v="2295.6999999999998"/>
    <x v="4"/>
  </r>
  <r>
    <x v="12"/>
    <x v="5"/>
    <x v="120"/>
    <n v="29042520"/>
    <n v="129"/>
    <n v="16387"/>
    <n v="15322"/>
    <n v="2184.5"/>
    <x v="1"/>
  </r>
  <r>
    <x v="13"/>
    <x v="5"/>
    <x v="121"/>
    <n v="27852900"/>
    <n v="129"/>
    <n v="16373"/>
    <n v="15223"/>
    <n v="2239.8000000000002"/>
    <x v="2"/>
  </r>
  <r>
    <x v="14"/>
    <x v="5"/>
    <x v="122"/>
    <n v="29368771.617449999"/>
    <n v="129"/>
    <n v="17095"/>
    <n v="15919"/>
    <n v="2326.8000000000002"/>
    <x v="2"/>
  </r>
  <r>
    <x v="15"/>
    <x v="5"/>
    <x v="123"/>
    <n v="27278441.145"/>
    <n v="129"/>
    <n v="15665"/>
    <n v="14501"/>
    <n v="2036.7"/>
    <x v="3"/>
  </r>
  <r>
    <x v="16"/>
    <x v="5"/>
    <x v="124"/>
    <n v="29159032.5"/>
    <n v="128"/>
    <n v="16450"/>
    <n v="15320"/>
    <n v="2234.4"/>
    <x v="4"/>
  </r>
  <r>
    <x v="17"/>
    <x v="5"/>
    <x v="125"/>
    <n v="26467453.5"/>
    <n v="129"/>
    <n v="15304"/>
    <n v="14315"/>
    <n v="2003.6"/>
    <x v="1"/>
  </r>
  <r>
    <x v="18"/>
    <x v="5"/>
    <x v="126"/>
    <n v="28427001"/>
    <n v="129"/>
    <n v="15778"/>
    <n v="14624"/>
    <n v="2124.6999999999998"/>
    <x v="4"/>
  </r>
  <r>
    <x v="19"/>
    <x v="5"/>
    <x v="127"/>
    <n v="28770810.105599999"/>
    <n v="129"/>
    <n v="16376"/>
    <n v="15197"/>
    <n v="2151.3000000000002"/>
    <x v="3"/>
  </r>
  <r>
    <x v="20"/>
    <x v="5"/>
    <x v="128"/>
    <n v="35103926.711549997"/>
    <n v="129"/>
    <n v="19856"/>
    <n v="18325"/>
    <n v="2767.3"/>
    <x v="2"/>
  </r>
  <r>
    <x v="21"/>
    <x v="5"/>
    <x v="129"/>
    <n v="27165913.5"/>
    <n v="129"/>
    <n v="15822"/>
    <n v="14753"/>
    <n v="2069.6"/>
    <x v="0"/>
  </r>
  <r>
    <x v="22"/>
    <x v="5"/>
    <x v="130"/>
    <n v="32418879"/>
    <n v="129"/>
    <n v="18042"/>
    <n v="16631"/>
    <n v="2411.9"/>
    <x v="4"/>
  </r>
  <r>
    <x v="23"/>
    <x v="5"/>
    <x v="131"/>
    <n v="29536176.10605"/>
    <n v="129"/>
    <n v="16437"/>
    <n v="15285"/>
    <n v="2226.4"/>
    <x v="3"/>
  </r>
  <r>
    <x v="24"/>
    <x v="5"/>
    <x v="132"/>
    <n v="38091556.5"/>
    <n v="129"/>
    <n v="20452"/>
    <n v="18857"/>
    <n v="2868.9"/>
    <x v="3"/>
  </r>
  <r>
    <x v="25"/>
    <x v="5"/>
    <x v="133"/>
    <n v="25325271"/>
    <n v="129"/>
    <n v="14582"/>
    <n v="13512"/>
    <n v="1921"/>
    <x v="3"/>
  </r>
  <r>
    <x v="26"/>
    <x v="5"/>
    <x v="134"/>
    <n v="28188534"/>
    <n v="129"/>
    <n v="16432"/>
    <n v="15345"/>
    <n v="2230.5"/>
    <x v="2"/>
  </r>
  <r>
    <x v="3"/>
    <x v="6"/>
    <x v="135"/>
    <n v="42323631"/>
    <n v="125"/>
    <n v="22291"/>
    <n v="20635"/>
    <n v="3270.5"/>
    <x v="1"/>
  </r>
  <r>
    <x v="4"/>
    <x v="6"/>
    <x v="136"/>
    <n v="37023243"/>
    <n v="125"/>
    <n v="20771"/>
    <n v="19338"/>
    <n v="2900.3"/>
    <x v="2"/>
  </r>
  <r>
    <x v="5"/>
    <x v="6"/>
    <x v="137"/>
    <n v="36834567"/>
    <n v="125"/>
    <n v="20079"/>
    <n v="18721"/>
    <n v="2856.6"/>
    <x v="1"/>
  </r>
  <r>
    <x v="6"/>
    <x v="6"/>
    <x v="138"/>
    <n v="38693427"/>
    <n v="125"/>
    <n v="20132"/>
    <n v="18617"/>
    <n v="2873.7"/>
    <x v="3"/>
  </r>
  <r>
    <x v="7"/>
    <x v="6"/>
    <x v="139"/>
    <n v="38406954"/>
    <n v="125"/>
    <n v="20495"/>
    <n v="18964"/>
    <n v="2882"/>
    <x v="3"/>
  </r>
  <r>
    <x v="8"/>
    <x v="6"/>
    <x v="140"/>
    <n v="41559384"/>
    <n v="125"/>
    <n v="21863"/>
    <n v="20160"/>
    <n v="3097.8"/>
    <x v="4"/>
  </r>
  <r>
    <x v="9"/>
    <x v="6"/>
    <x v="141"/>
    <n v="31843737"/>
    <n v="125"/>
    <n v="16932"/>
    <n v="15601"/>
    <n v="2372.6"/>
    <x v="4"/>
  </r>
  <r>
    <x v="10"/>
    <x v="6"/>
    <x v="142"/>
    <n v="38365960.5"/>
    <n v="124"/>
    <n v="21153"/>
    <n v="19673"/>
    <n v="2982.8"/>
    <x v="0"/>
  </r>
  <r>
    <x v="11"/>
    <x v="6"/>
    <x v="143"/>
    <n v="40077193.5"/>
    <n v="125"/>
    <n v="20602"/>
    <n v="18845"/>
    <n v="2980"/>
    <x v="4"/>
  </r>
  <r>
    <x v="12"/>
    <x v="6"/>
    <x v="144"/>
    <n v="39578577"/>
    <n v="125"/>
    <n v="21106"/>
    <n v="19651"/>
    <n v="2987.1"/>
    <x v="1"/>
  </r>
  <r>
    <x v="13"/>
    <x v="6"/>
    <x v="145"/>
    <n v="37902156.57"/>
    <n v="125"/>
    <n v="20911"/>
    <n v="19358"/>
    <n v="3024.3"/>
    <x v="2"/>
  </r>
  <r>
    <x v="14"/>
    <x v="6"/>
    <x v="146"/>
    <n v="39639309"/>
    <n v="125"/>
    <n v="21674"/>
    <n v="20155"/>
    <n v="3109.3"/>
    <x v="2"/>
  </r>
  <r>
    <x v="15"/>
    <x v="6"/>
    <x v="147"/>
    <n v="35671734"/>
    <n v="125"/>
    <n v="18944"/>
    <n v="17541"/>
    <n v="2670.3"/>
    <x v="3"/>
  </r>
  <r>
    <x v="16"/>
    <x v="6"/>
    <x v="148"/>
    <n v="39918028.5"/>
    <n v="125"/>
    <n v="20914"/>
    <n v="19479"/>
    <n v="3008.5"/>
    <x v="4"/>
  </r>
  <r>
    <x v="17"/>
    <x v="6"/>
    <x v="149"/>
    <n v="37197115.5"/>
    <n v="125"/>
    <n v="19965"/>
    <n v="18573"/>
    <n v="2800.5"/>
    <x v="1"/>
  </r>
  <r>
    <x v="0"/>
    <x v="5"/>
    <x v="150"/>
    <n v="29327766"/>
    <n v="129"/>
    <n v="17235"/>
    <n v="16052"/>
    <n v="2281.6999999999998"/>
    <x v="0"/>
  </r>
  <r>
    <x v="18"/>
    <x v="6"/>
    <x v="151"/>
    <n v="36631999.5"/>
    <n v="125"/>
    <n v="18861"/>
    <n v="17420"/>
    <n v="2741.3"/>
    <x v="4"/>
  </r>
  <r>
    <x v="1"/>
    <x v="5"/>
    <x v="152"/>
    <n v="35724493.5"/>
    <n v="129"/>
    <n v="20243"/>
    <n v="18711"/>
    <n v="2828.5"/>
    <x v="0"/>
  </r>
  <r>
    <x v="19"/>
    <x v="6"/>
    <x v="153"/>
    <n v="38092344"/>
    <n v="125"/>
    <n v="20218"/>
    <n v="18647"/>
    <n v="2842.2"/>
    <x v="3"/>
  </r>
  <r>
    <x v="20"/>
    <x v="6"/>
    <x v="154"/>
    <n v="46408080"/>
    <n v="125"/>
    <n v="24574"/>
    <n v="22609"/>
    <n v="3655.1"/>
    <x v="2"/>
  </r>
  <r>
    <x v="2"/>
    <x v="5"/>
    <x v="155"/>
    <n v="28151004.75"/>
    <n v="129"/>
    <n v="16453"/>
    <n v="15289"/>
    <n v="2158.8000000000002"/>
    <x v="0"/>
  </r>
  <r>
    <x v="21"/>
    <x v="6"/>
    <x v="156"/>
    <n v="36883428"/>
    <n v="124"/>
    <n v="20358"/>
    <n v="18890"/>
    <n v="2820.4"/>
    <x v="0"/>
  </r>
  <r>
    <x v="22"/>
    <x v="6"/>
    <x v="157"/>
    <n v="43028734.5"/>
    <n v="125"/>
    <n v="22368"/>
    <n v="20625"/>
    <n v="3212.6"/>
    <x v="4"/>
  </r>
  <r>
    <x v="23"/>
    <x v="6"/>
    <x v="158"/>
    <n v="39010875"/>
    <n v="125"/>
    <n v="20368"/>
    <n v="18884"/>
    <n v="2949.2"/>
    <x v="3"/>
  </r>
  <r>
    <x v="24"/>
    <x v="6"/>
    <x v="159"/>
    <n v="49123180.5"/>
    <n v="125"/>
    <n v="24620"/>
    <n v="22641"/>
    <n v="3708.2"/>
    <x v="3"/>
  </r>
  <r>
    <x v="25"/>
    <x v="6"/>
    <x v="160"/>
    <n v="33763989"/>
    <n v="125"/>
    <n v="18014"/>
    <n v="16675"/>
    <n v="2552.9"/>
    <x v="3"/>
  </r>
  <r>
    <x v="26"/>
    <x v="6"/>
    <x v="161"/>
    <n v="38191381.5"/>
    <n v="125"/>
    <n v="21004"/>
    <n v="19556"/>
    <n v="3006"/>
    <x v="2"/>
  </r>
  <r>
    <x v="3"/>
    <x v="7"/>
    <x v="162"/>
    <n v="6652179"/>
    <n v="36"/>
    <n v="5286"/>
    <n v="4867"/>
    <n v="2259.1999999999998"/>
    <x v="1"/>
  </r>
  <r>
    <x v="4"/>
    <x v="7"/>
    <x v="163"/>
    <n v="6173463"/>
    <n v="36"/>
    <n v="5094"/>
    <n v="4716"/>
    <n v="2105.5"/>
    <x v="2"/>
  </r>
  <r>
    <x v="5"/>
    <x v="7"/>
    <x v="164"/>
    <n v="5952802.5"/>
    <n v="36"/>
    <n v="4918"/>
    <n v="4554"/>
    <n v="2023.9"/>
    <x v="1"/>
  </r>
  <r>
    <x v="6"/>
    <x v="7"/>
    <x v="165"/>
    <n v="7253427"/>
    <n v="36"/>
    <n v="5413"/>
    <n v="4959"/>
    <n v="2315.9"/>
    <x v="3"/>
  </r>
  <r>
    <x v="7"/>
    <x v="7"/>
    <x v="166"/>
    <n v="5561452.5"/>
    <n v="36"/>
    <n v="4508"/>
    <n v="4149"/>
    <n v="1780.8"/>
    <x v="3"/>
  </r>
  <r>
    <x v="8"/>
    <x v="7"/>
    <x v="167"/>
    <n v="6454458"/>
    <n v="36"/>
    <n v="4937"/>
    <n v="4561"/>
    <n v="2075.1999999999998"/>
    <x v="4"/>
  </r>
  <r>
    <x v="9"/>
    <x v="7"/>
    <x v="168"/>
    <n v="4118251.5"/>
    <n v="36"/>
    <n v="3442"/>
    <n v="3147"/>
    <n v="1283.8"/>
    <x v="4"/>
  </r>
  <r>
    <x v="10"/>
    <x v="7"/>
    <x v="169"/>
    <n v="5864989.5"/>
    <n v="36"/>
    <n v="4770"/>
    <n v="4424"/>
    <n v="1881.3"/>
    <x v="0"/>
  </r>
  <r>
    <x v="11"/>
    <x v="7"/>
    <x v="170"/>
    <n v="7032225"/>
    <n v="36"/>
    <n v="5457"/>
    <n v="4916"/>
    <n v="2284.1"/>
    <x v="4"/>
  </r>
  <r>
    <x v="12"/>
    <x v="7"/>
    <x v="171"/>
    <n v="5523145.5"/>
    <n v="36"/>
    <n v="4418"/>
    <n v="4088"/>
    <n v="1788.6"/>
    <x v="1"/>
  </r>
  <r>
    <x v="13"/>
    <x v="7"/>
    <x v="172"/>
    <n v="5864085"/>
    <n v="36"/>
    <n v="4816"/>
    <n v="4452"/>
    <n v="2031.3"/>
    <x v="2"/>
  </r>
  <r>
    <x v="14"/>
    <x v="7"/>
    <x v="173"/>
    <n v="7121946"/>
    <n v="36"/>
    <n v="5914"/>
    <n v="5384"/>
    <n v="2767.5"/>
    <x v="2"/>
  </r>
  <r>
    <x v="15"/>
    <x v="7"/>
    <x v="174"/>
    <n v="5770539"/>
    <n v="36"/>
    <n v="4575"/>
    <n v="4206"/>
    <n v="1844.3"/>
    <x v="3"/>
  </r>
  <r>
    <x v="16"/>
    <x v="7"/>
    <x v="175"/>
    <n v="6288246"/>
    <n v="36"/>
    <n v="4923"/>
    <n v="4560"/>
    <n v="2031.9"/>
    <x v="4"/>
  </r>
  <r>
    <x v="17"/>
    <x v="7"/>
    <x v="176"/>
    <n v="6333828"/>
    <n v="36"/>
    <n v="4967"/>
    <n v="4583"/>
    <n v="2029.5"/>
    <x v="1"/>
  </r>
  <r>
    <x v="0"/>
    <x v="6"/>
    <x v="177"/>
    <n v="39380178"/>
    <n v="124"/>
    <n v="21392"/>
    <n v="19869"/>
    <n v="3061.8"/>
    <x v="0"/>
  </r>
  <r>
    <x v="18"/>
    <x v="7"/>
    <x v="178"/>
    <n v="6221320.5"/>
    <n v="36"/>
    <n v="4751"/>
    <n v="4370"/>
    <n v="1960.6"/>
    <x v="4"/>
  </r>
  <r>
    <x v="1"/>
    <x v="6"/>
    <x v="179"/>
    <n v="46370904"/>
    <n v="124"/>
    <n v="24325"/>
    <n v="22469"/>
    <n v="3654.2"/>
    <x v="0"/>
  </r>
  <r>
    <x v="19"/>
    <x v="7"/>
    <x v="180"/>
    <n v="5454121.5"/>
    <n v="36"/>
    <n v="4384"/>
    <n v="4025"/>
    <n v="1750.3"/>
    <x v="3"/>
  </r>
  <r>
    <x v="20"/>
    <x v="7"/>
    <x v="181"/>
    <n v="7173117"/>
    <n v="36"/>
    <n v="5651"/>
    <n v="5212"/>
    <n v="2487.6999999999998"/>
    <x v="2"/>
  </r>
  <r>
    <x v="2"/>
    <x v="6"/>
    <x v="182"/>
    <n v="37947688.5"/>
    <n v="124"/>
    <n v="20868"/>
    <n v="19342"/>
    <n v="2940.6"/>
    <x v="0"/>
  </r>
  <r>
    <x v="21"/>
    <x v="7"/>
    <x v="183"/>
    <n v="5704650"/>
    <n v="36"/>
    <n v="4641"/>
    <n v="4274"/>
    <n v="1842.1"/>
    <x v="0"/>
  </r>
  <r>
    <x v="22"/>
    <x v="7"/>
    <x v="184"/>
    <n v="6819594"/>
    <n v="36"/>
    <n v="5143"/>
    <n v="4715"/>
    <n v="2173.1999999999998"/>
    <x v="4"/>
  </r>
  <r>
    <x v="23"/>
    <x v="7"/>
    <x v="185"/>
    <n v="7726069.5"/>
    <n v="36"/>
    <n v="5746"/>
    <n v="5277"/>
    <n v="2453.1"/>
    <x v="3"/>
  </r>
  <r>
    <x v="24"/>
    <x v="7"/>
    <x v="186"/>
    <n v="5365708.5"/>
    <n v="36"/>
    <n v="4199"/>
    <n v="3867"/>
    <n v="1716.8"/>
    <x v="3"/>
  </r>
  <r>
    <x v="25"/>
    <x v="7"/>
    <x v="187"/>
    <n v="6175837.5"/>
    <n v="36"/>
    <n v="4826"/>
    <n v="4426"/>
    <n v="1974.1"/>
    <x v="3"/>
  </r>
  <r>
    <x v="26"/>
    <x v="7"/>
    <x v="188"/>
    <n v="6098236.5"/>
    <n v="36"/>
    <n v="4915"/>
    <n v="4562"/>
    <n v="2073.6"/>
    <x v="2"/>
  </r>
  <r>
    <x v="3"/>
    <x v="8"/>
    <x v="189"/>
    <n v="4025148"/>
    <n v="21"/>
    <n v="2427"/>
    <n v="2213"/>
    <n v="2121.9"/>
    <x v="1"/>
  </r>
  <r>
    <x v="4"/>
    <x v="8"/>
    <x v="190"/>
    <n v="3552937.5"/>
    <n v="21"/>
    <n v="2245"/>
    <n v="2053"/>
    <n v="1821.4"/>
    <x v="2"/>
  </r>
  <r>
    <x v="5"/>
    <x v="8"/>
    <x v="191"/>
    <n v="3191155.5"/>
    <n v="21"/>
    <n v="2054"/>
    <n v="1883"/>
    <n v="1658.6"/>
    <x v="1"/>
  </r>
  <r>
    <x v="6"/>
    <x v="8"/>
    <x v="192"/>
    <n v="3084892.5"/>
    <n v="21"/>
    <n v="1891"/>
    <n v="1709"/>
    <n v="1535.2"/>
    <x v="3"/>
  </r>
  <r>
    <x v="7"/>
    <x v="8"/>
    <x v="193"/>
    <n v="2817853.5"/>
    <n v="20"/>
    <n v="1804"/>
    <n v="1638"/>
    <n v="1539"/>
    <x v="3"/>
  </r>
  <r>
    <x v="8"/>
    <x v="8"/>
    <x v="194"/>
    <n v="2627595"/>
    <n v="19"/>
    <n v="1676"/>
    <n v="1516"/>
    <n v="1533.8"/>
    <x v="4"/>
  </r>
  <r>
    <x v="9"/>
    <x v="8"/>
    <x v="195"/>
    <n v="2470465.5"/>
    <n v="20"/>
    <n v="1613"/>
    <n v="1457"/>
    <n v="1321.4"/>
    <x v="4"/>
  </r>
  <r>
    <x v="10"/>
    <x v="8"/>
    <x v="196"/>
    <n v="3700311"/>
    <n v="21"/>
    <n v="2418"/>
    <n v="2215"/>
    <n v="1940.2"/>
    <x v="0"/>
  </r>
  <r>
    <x v="11"/>
    <x v="8"/>
    <x v="197"/>
    <n v="4293241.5"/>
    <n v="20"/>
    <n v="2468"/>
    <n v="2221"/>
    <n v="2331"/>
    <x v="4"/>
  </r>
  <r>
    <x v="12"/>
    <x v="8"/>
    <x v="198"/>
    <n v="3080614.5"/>
    <n v="21"/>
    <n v="1926"/>
    <n v="1745"/>
    <n v="1543.8"/>
    <x v="1"/>
  </r>
  <r>
    <x v="13"/>
    <x v="8"/>
    <x v="199"/>
    <n v="3810394.5"/>
    <n v="21"/>
    <n v="2335"/>
    <n v="2126"/>
    <n v="1943.8"/>
    <x v="2"/>
  </r>
  <r>
    <x v="14"/>
    <x v="8"/>
    <x v="200"/>
    <n v="3918987"/>
    <n v="21"/>
    <n v="2410"/>
    <n v="2202"/>
    <n v="1971"/>
    <x v="2"/>
  </r>
  <r>
    <x v="15"/>
    <x v="8"/>
    <x v="201"/>
    <n v="2648688"/>
    <n v="20"/>
    <n v="1757"/>
    <n v="1596"/>
    <n v="1474.1"/>
    <x v="3"/>
  </r>
  <r>
    <x v="16"/>
    <x v="8"/>
    <x v="202"/>
    <n v="2863600.5"/>
    <n v="19"/>
    <n v="1846"/>
    <n v="1681"/>
    <n v="1693.7"/>
    <x v="4"/>
  </r>
  <r>
    <x v="17"/>
    <x v="8"/>
    <x v="203"/>
    <n v="3288069"/>
    <n v="21"/>
    <n v="2061"/>
    <n v="1876"/>
    <n v="1692.1"/>
    <x v="1"/>
  </r>
  <r>
    <x v="0"/>
    <x v="7"/>
    <x v="204"/>
    <n v="6500848.5"/>
    <n v="37"/>
    <n v="5215"/>
    <n v="4848"/>
    <n v="2060.4"/>
    <x v="0"/>
  </r>
  <r>
    <x v="18"/>
    <x v="8"/>
    <x v="205"/>
    <n v="2720002.5"/>
    <n v="20"/>
    <n v="1716"/>
    <n v="1561"/>
    <n v="1496.8"/>
    <x v="4"/>
  </r>
  <r>
    <x v="1"/>
    <x v="7"/>
    <x v="206"/>
    <n v="9098386.5"/>
    <n v="37"/>
    <n v="6645"/>
    <n v="6122"/>
    <n v="2889.9"/>
    <x v="0"/>
  </r>
  <r>
    <x v="19"/>
    <x v="8"/>
    <x v="207"/>
    <n v="2738127"/>
    <n v="20"/>
    <n v="1747"/>
    <n v="1570"/>
    <n v="1517.1"/>
    <x v="3"/>
  </r>
  <r>
    <x v="20"/>
    <x v="8"/>
    <x v="208"/>
    <n v="3883215"/>
    <n v="21"/>
    <n v="2460"/>
    <n v="2226"/>
    <n v="2047.6"/>
    <x v="2"/>
  </r>
  <r>
    <x v="2"/>
    <x v="7"/>
    <x v="209"/>
    <n v="6101931"/>
    <n v="37"/>
    <n v="4840"/>
    <n v="4475"/>
    <n v="1890.4"/>
    <x v="0"/>
  </r>
  <r>
    <x v="21"/>
    <x v="8"/>
    <x v="210"/>
    <n v="3561655.5"/>
    <n v="21"/>
    <n v="2330"/>
    <n v="2142"/>
    <n v="1844.8"/>
    <x v="0"/>
  </r>
  <r>
    <x v="22"/>
    <x v="8"/>
    <x v="211"/>
    <n v="2853310.5"/>
    <n v="20"/>
    <n v="1756"/>
    <n v="1586"/>
    <n v="1561.6"/>
    <x v="4"/>
  </r>
  <r>
    <x v="23"/>
    <x v="8"/>
    <x v="212"/>
    <n v="3549097.5"/>
    <n v="21"/>
    <n v="2120"/>
    <n v="1921"/>
    <n v="1785.2"/>
    <x v="3"/>
  </r>
  <r>
    <x v="24"/>
    <x v="8"/>
    <x v="213"/>
    <n v="3201358.5"/>
    <n v="21"/>
    <n v="1957"/>
    <n v="1755"/>
    <n v="1638.1"/>
    <x v="3"/>
  </r>
  <r>
    <x v="25"/>
    <x v="8"/>
    <x v="214"/>
    <n v="2934504"/>
    <n v="21"/>
    <n v="1879"/>
    <n v="1695"/>
    <n v="1564.4"/>
    <x v="3"/>
  </r>
  <r>
    <x v="26"/>
    <x v="8"/>
    <x v="215"/>
    <n v="3449302.5"/>
    <n v="21"/>
    <n v="2254"/>
    <n v="2061"/>
    <n v="1818.8"/>
    <x v="2"/>
  </r>
  <r>
    <x v="0"/>
    <x v="8"/>
    <x v="216"/>
    <n v="3994153.5"/>
    <n v="23"/>
    <n v="2522"/>
    <n v="2295"/>
    <n v="1844.5"/>
    <x v="0"/>
  </r>
  <r>
    <x v="1"/>
    <x v="8"/>
    <x v="217"/>
    <n v="4456441.5"/>
    <n v="22"/>
    <n v="2793"/>
    <n v="2539"/>
    <n v="2194.8000000000002"/>
    <x v="0"/>
  </r>
  <r>
    <x v="2"/>
    <x v="8"/>
    <x v="218"/>
    <n v="3893680.5"/>
    <n v="22"/>
    <n v="2454"/>
    <n v="2239"/>
    <n v="1883.7"/>
    <x v="0"/>
  </r>
  <r>
    <x v="3"/>
    <x v="9"/>
    <x v="219"/>
    <n v="1601425.5"/>
    <n v="15"/>
    <n v="1111"/>
    <n v="992"/>
    <n v="1240"/>
    <x v="1"/>
  </r>
  <r>
    <x v="4"/>
    <x v="9"/>
    <x v="220"/>
    <n v="1364847"/>
    <n v="16"/>
    <n v="1012"/>
    <n v="900"/>
    <n v="1039.9000000000001"/>
    <x v="2"/>
  </r>
  <r>
    <x v="5"/>
    <x v="9"/>
    <x v="221"/>
    <n v="1377577.5"/>
    <n v="15"/>
    <n v="971"/>
    <n v="856"/>
    <n v="1040.5999999999999"/>
    <x v="1"/>
  </r>
  <r>
    <x v="6"/>
    <x v="9"/>
    <x v="222"/>
    <n v="1222932"/>
    <n v="15"/>
    <n v="849"/>
    <n v="740"/>
    <n v="929.9"/>
    <x v="3"/>
  </r>
  <r>
    <x v="7"/>
    <x v="9"/>
    <x v="223"/>
    <n v="1085211"/>
    <n v="15"/>
    <n v="750"/>
    <n v="647"/>
    <n v="820.1"/>
    <x v="3"/>
  </r>
  <r>
    <x v="8"/>
    <x v="9"/>
    <x v="224"/>
    <n v="1115992.5"/>
    <n v="15"/>
    <n v="786"/>
    <n v="695"/>
    <n v="867.6"/>
    <x v="4"/>
  </r>
  <r>
    <x v="9"/>
    <x v="9"/>
    <x v="225"/>
    <n v="1053220.5"/>
    <n v="15"/>
    <n v="751"/>
    <n v="651"/>
    <n v="820.9"/>
    <x v="4"/>
  </r>
  <r>
    <x v="10"/>
    <x v="9"/>
    <x v="226"/>
    <n v="1489132.5"/>
    <n v="17"/>
    <n v="1140"/>
    <n v="1016"/>
    <n v="1023"/>
    <x v="0"/>
  </r>
  <r>
    <x v="11"/>
    <x v="9"/>
    <x v="227"/>
    <n v="1465842"/>
    <n v="15"/>
    <n v="996"/>
    <n v="888"/>
    <n v="1140.9000000000001"/>
    <x v="4"/>
  </r>
  <r>
    <x v="12"/>
    <x v="9"/>
    <x v="228"/>
    <n v="1123830"/>
    <n v="15"/>
    <n v="845"/>
    <n v="743"/>
    <n v="853.5"/>
    <x v="1"/>
  </r>
  <r>
    <x v="13"/>
    <x v="9"/>
    <x v="229"/>
    <n v="1380751.5"/>
    <n v="17"/>
    <n v="1045"/>
    <n v="930"/>
    <n v="973.8"/>
    <x v="2"/>
  </r>
  <r>
    <x v="14"/>
    <x v="9"/>
    <x v="230"/>
    <n v="1430254.5"/>
    <n v="16"/>
    <n v="1050"/>
    <n v="938"/>
    <n v="1083.0999999999999"/>
    <x v="2"/>
  </r>
  <r>
    <x v="15"/>
    <x v="9"/>
    <x v="231"/>
    <n v="1384179"/>
    <n v="15"/>
    <n v="922"/>
    <n v="823"/>
    <n v="1065.8"/>
    <x v="3"/>
  </r>
  <r>
    <x v="16"/>
    <x v="9"/>
    <x v="232"/>
    <n v="1102887"/>
    <n v="15"/>
    <n v="780"/>
    <n v="690"/>
    <n v="886.9"/>
    <x v="4"/>
  </r>
  <r>
    <x v="17"/>
    <x v="9"/>
    <x v="233"/>
    <n v="1243507.5"/>
    <n v="15"/>
    <n v="898"/>
    <n v="795"/>
    <n v="953.7"/>
    <x v="1"/>
  </r>
  <r>
    <x v="18"/>
    <x v="9"/>
    <x v="234"/>
    <n v="1120009.5"/>
    <n v="15"/>
    <n v="784"/>
    <n v="696"/>
    <n v="861.6"/>
    <x v="4"/>
  </r>
  <r>
    <x v="19"/>
    <x v="9"/>
    <x v="235"/>
    <n v="1221057"/>
    <n v="15"/>
    <n v="839"/>
    <n v="733"/>
    <n v="937.4"/>
    <x v="3"/>
  </r>
  <r>
    <x v="20"/>
    <x v="9"/>
    <x v="236"/>
    <n v="1854001.5"/>
    <n v="17"/>
    <n v="1294"/>
    <n v="1155"/>
    <n v="1291.7"/>
    <x v="2"/>
  </r>
  <r>
    <x v="21"/>
    <x v="9"/>
    <x v="237"/>
    <n v="1507867.5"/>
    <n v="17"/>
    <n v="1142"/>
    <n v="1020"/>
    <n v="1012.4"/>
    <x v="0"/>
  </r>
  <r>
    <x v="22"/>
    <x v="9"/>
    <x v="238"/>
    <n v="1103068.5"/>
    <n v="15"/>
    <n v="791"/>
    <n v="691"/>
    <n v="850.2"/>
    <x v="4"/>
  </r>
  <r>
    <x v="23"/>
    <x v="9"/>
    <x v="239"/>
    <n v="1471537.5"/>
    <n v="15"/>
    <n v="950"/>
    <n v="848"/>
    <n v="1095.7"/>
    <x v="3"/>
  </r>
  <r>
    <x v="24"/>
    <x v="9"/>
    <x v="240"/>
    <n v="1269786"/>
    <n v="15"/>
    <n v="879"/>
    <n v="768"/>
    <n v="966.3"/>
    <x v="3"/>
  </r>
  <r>
    <x v="25"/>
    <x v="9"/>
    <x v="241"/>
    <n v="1123894.5"/>
    <n v="15"/>
    <n v="805"/>
    <n v="703"/>
    <n v="847"/>
    <x v="3"/>
  </r>
  <r>
    <x v="26"/>
    <x v="9"/>
    <x v="242"/>
    <n v="1548099"/>
    <n v="17"/>
    <n v="1128"/>
    <n v="1001"/>
    <n v="1063.2"/>
    <x v="2"/>
  </r>
  <r>
    <x v="3"/>
    <x v="10"/>
    <x v="243"/>
    <n v="1215033"/>
    <n v="15"/>
    <n v="747"/>
    <n v="647"/>
    <n v="874.7"/>
    <x v="1"/>
  </r>
  <r>
    <x v="4"/>
    <x v="10"/>
    <x v="244"/>
    <n v="1403047.5"/>
    <n v="15"/>
    <n v="930"/>
    <n v="827"/>
    <n v="1082.5"/>
    <x v="2"/>
  </r>
  <r>
    <x v="5"/>
    <x v="10"/>
    <x v="245"/>
    <n v="1060489.5"/>
    <n v="15"/>
    <n v="692"/>
    <n v="591"/>
    <n v="797.8"/>
    <x v="1"/>
  </r>
  <r>
    <x v="6"/>
    <x v="10"/>
    <x v="246"/>
    <n v="1081216.5"/>
    <n v="15"/>
    <n v="623"/>
    <n v="535"/>
    <n v="802.5"/>
    <x v="3"/>
  </r>
  <r>
    <x v="7"/>
    <x v="10"/>
    <x v="247"/>
    <n v="610855.5"/>
    <n v="15"/>
    <n v="390"/>
    <n v="315"/>
    <n v="472.5"/>
    <x v="3"/>
  </r>
  <r>
    <x v="8"/>
    <x v="11"/>
    <x v="248"/>
    <n v="2360914.5"/>
    <n v="18"/>
    <n v="1599"/>
    <n v="1450"/>
    <n v="1434.3"/>
    <x v="4"/>
  </r>
  <r>
    <x v="9"/>
    <x v="10"/>
    <x v="249"/>
    <n v="433243.5"/>
    <n v="15"/>
    <n v="274"/>
    <n v="203"/>
    <n v="308.3"/>
    <x v="4"/>
  </r>
  <r>
    <x v="10"/>
    <x v="10"/>
    <x v="250"/>
    <n v="1152054"/>
    <n v="15"/>
    <n v="812"/>
    <n v="711"/>
    <n v="817.3"/>
    <x v="0"/>
  </r>
  <r>
    <x v="11"/>
    <x v="10"/>
    <x v="251"/>
    <n v="505572"/>
    <n v="15"/>
    <n v="294"/>
    <n v="225"/>
    <n v="363.1"/>
    <x v="4"/>
  </r>
  <r>
    <x v="12"/>
    <x v="10"/>
    <x v="252"/>
    <n v="989632.5"/>
    <n v="15"/>
    <n v="624"/>
    <n v="538"/>
    <n v="753.1"/>
    <x v="1"/>
  </r>
  <r>
    <x v="13"/>
    <x v="10"/>
    <x v="253"/>
    <n v="1103623.5"/>
    <n v="15"/>
    <n v="749"/>
    <n v="652"/>
    <n v="809"/>
    <x v="2"/>
  </r>
  <r>
    <x v="14"/>
    <x v="10"/>
    <x v="254"/>
    <n v="1104858"/>
    <n v="15"/>
    <n v="760"/>
    <n v="664"/>
    <n v="842"/>
    <x v="2"/>
  </r>
  <r>
    <x v="15"/>
    <x v="10"/>
    <x v="255"/>
    <n v="694593"/>
    <n v="15"/>
    <n v="455"/>
    <n v="381"/>
    <n v="548.20000000000005"/>
    <x v="3"/>
  </r>
  <r>
    <x v="16"/>
    <x v="11"/>
    <x v="256"/>
    <n v="2277072"/>
    <n v="18"/>
    <n v="1505"/>
    <n v="1368"/>
    <n v="1397.2"/>
    <x v="4"/>
  </r>
  <r>
    <x v="17"/>
    <x v="10"/>
    <x v="257"/>
    <n v="949912.5"/>
    <n v="15"/>
    <n v="599"/>
    <n v="515"/>
    <n v="693.4"/>
    <x v="1"/>
  </r>
  <r>
    <x v="0"/>
    <x v="9"/>
    <x v="258"/>
    <n v="1592119.5"/>
    <n v="17"/>
    <n v="1186"/>
    <n v="1054"/>
    <n v="1040.5999999999999"/>
    <x v="0"/>
  </r>
  <r>
    <x v="18"/>
    <x v="10"/>
    <x v="259"/>
    <n v="665302.5"/>
    <n v="15"/>
    <n v="455"/>
    <n v="384"/>
    <n v="541.79999999999995"/>
    <x v="4"/>
  </r>
  <r>
    <x v="1"/>
    <x v="9"/>
    <x v="260"/>
    <n v="2457252"/>
    <n v="17"/>
    <n v="1697"/>
    <n v="1499"/>
    <n v="1603"/>
    <x v="0"/>
  </r>
  <r>
    <x v="19"/>
    <x v="10"/>
    <x v="261"/>
    <n v="739291.5"/>
    <n v="15"/>
    <n v="467"/>
    <n v="389"/>
    <n v="564.29999999999995"/>
    <x v="3"/>
  </r>
  <r>
    <x v="20"/>
    <x v="10"/>
    <x v="262"/>
    <n v="1315075.5"/>
    <n v="15"/>
    <n v="840"/>
    <n v="725"/>
    <n v="944.5"/>
    <x v="2"/>
  </r>
  <r>
    <x v="2"/>
    <x v="9"/>
    <x v="263"/>
    <n v="1487928"/>
    <n v="17"/>
    <n v="1097"/>
    <n v="968"/>
    <n v="970.6"/>
    <x v="0"/>
  </r>
  <r>
    <x v="21"/>
    <x v="10"/>
    <x v="264"/>
    <n v="1230687"/>
    <n v="15"/>
    <n v="835"/>
    <n v="736"/>
    <n v="884"/>
    <x v="0"/>
  </r>
  <r>
    <x v="22"/>
    <x v="10"/>
    <x v="265"/>
    <n v="404691"/>
    <n v="15"/>
    <n v="262"/>
    <n v="195"/>
    <n v="285.7"/>
    <x v="4"/>
  </r>
  <r>
    <x v="23"/>
    <x v="10"/>
    <x v="266"/>
    <n v="1198285.5"/>
    <n v="15"/>
    <n v="706"/>
    <n v="608"/>
    <n v="896"/>
    <x v="3"/>
  </r>
  <r>
    <x v="24"/>
    <x v="10"/>
    <x v="267"/>
    <n v="798759"/>
    <n v="15"/>
    <n v="492"/>
    <n v="412"/>
    <n v="603.9"/>
    <x v="3"/>
  </r>
  <r>
    <x v="25"/>
    <x v="10"/>
    <x v="268"/>
    <n v="769276.5"/>
    <n v="15"/>
    <n v="480"/>
    <n v="398"/>
    <n v="581.29999999999995"/>
    <x v="3"/>
  </r>
  <r>
    <x v="26"/>
    <x v="10"/>
    <x v="269"/>
    <n v="1184865"/>
    <n v="15"/>
    <n v="779"/>
    <n v="673"/>
    <n v="844.4"/>
    <x v="2"/>
  </r>
  <r>
    <x v="3"/>
    <x v="11"/>
    <x v="270"/>
    <n v="2922883.5"/>
    <n v="19"/>
    <n v="2039"/>
    <n v="1868"/>
    <n v="1819.1"/>
    <x v="1"/>
  </r>
  <r>
    <x v="4"/>
    <x v="11"/>
    <x v="271"/>
    <n v="2446530"/>
    <n v="19"/>
    <n v="1831"/>
    <n v="1667"/>
    <n v="1520.1"/>
    <x v="2"/>
  </r>
  <r>
    <x v="5"/>
    <x v="11"/>
    <x v="272"/>
    <n v="2435632.5"/>
    <n v="19"/>
    <n v="1790"/>
    <n v="1633"/>
    <n v="1488.2"/>
    <x v="1"/>
  </r>
  <r>
    <x v="6"/>
    <x v="11"/>
    <x v="273"/>
    <n v="2384937"/>
    <n v="19"/>
    <n v="1542"/>
    <n v="1412"/>
    <n v="1382.7"/>
    <x v="3"/>
  </r>
  <r>
    <x v="7"/>
    <x v="11"/>
    <x v="274"/>
    <n v="2155668"/>
    <n v="19"/>
    <n v="1479"/>
    <n v="1346"/>
    <n v="1241.4000000000001"/>
    <x v="3"/>
  </r>
  <r>
    <x v="9"/>
    <x v="11"/>
    <x v="275"/>
    <n v="1682851.5"/>
    <n v="19"/>
    <n v="1206"/>
    <n v="1080"/>
    <n v="969.9"/>
    <x v="4"/>
  </r>
  <r>
    <x v="10"/>
    <x v="11"/>
    <x v="276"/>
    <n v="2410803"/>
    <n v="20"/>
    <n v="1814"/>
    <n v="1655"/>
    <n v="1357.8"/>
    <x v="0"/>
  </r>
  <r>
    <x v="11"/>
    <x v="11"/>
    <x v="277"/>
    <n v="3168510"/>
    <n v="19"/>
    <n v="1987"/>
    <n v="1791"/>
    <n v="1852.1"/>
    <x v="4"/>
  </r>
  <r>
    <x v="12"/>
    <x v="11"/>
    <x v="278"/>
    <n v="2243160"/>
    <n v="19"/>
    <n v="1598"/>
    <n v="1454"/>
    <n v="1341.2"/>
    <x v="1"/>
  </r>
  <r>
    <x v="13"/>
    <x v="11"/>
    <x v="279"/>
    <n v="2198935.5"/>
    <n v="19"/>
    <n v="1650"/>
    <n v="1505"/>
    <n v="1334.8"/>
    <x v="2"/>
  </r>
  <r>
    <x v="14"/>
    <x v="11"/>
    <x v="280"/>
    <n v="2520759"/>
    <n v="19"/>
    <n v="1823"/>
    <n v="1678"/>
    <n v="1518.4"/>
    <x v="2"/>
  </r>
  <r>
    <x v="15"/>
    <x v="11"/>
    <x v="281"/>
    <n v="2380333.5"/>
    <n v="19"/>
    <n v="1622"/>
    <n v="1482"/>
    <n v="1387.7"/>
    <x v="3"/>
  </r>
  <r>
    <x v="17"/>
    <x v="11"/>
    <x v="282"/>
    <n v="2263651.5"/>
    <n v="19"/>
    <n v="1605"/>
    <n v="1447"/>
    <n v="1344.2"/>
    <x v="1"/>
  </r>
  <r>
    <x v="0"/>
    <x v="10"/>
    <x v="283"/>
    <n v="1336789.5"/>
    <n v="16"/>
    <n v="917"/>
    <n v="802"/>
    <n v="925.5"/>
    <x v="0"/>
  </r>
  <r>
    <x v="18"/>
    <x v="11"/>
    <x v="284"/>
    <n v="1906557"/>
    <n v="19"/>
    <n v="1314"/>
    <n v="1192"/>
    <n v="1123.3"/>
    <x v="4"/>
  </r>
  <r>
    <x v="1"/>
    <x v="10"/>
    <x v="285"/>
    <n v="1609090.5"/>
    <n v="16"/>
    <n v="1048"/>
    <n v="918"/>
    <n v="1121.5999999999999"/>
    <x v="0"/>
  </r>
  <r>
    <x v="19"/>
    <x v="11"/>
    <x v="286"/>
    <n v="2159350.5"/>
    <n v="19"/>
    <n v="1509"/>
    <n v="1374"/>
    <n v="1280.9000000000001"/>
    <x v="3"/>
  </r>
  <r>
    <x v="20"/>
    <x v="11"/>
    <x v="287"/>
    <n v="3089140.5"/>
    <n v="19"/>
    <n v="2195"/>
    <n v="1999"/>
    <n v="1947.2"/>
    <x v="2"/>
  </r>
  <r>
    <x v="2"/>
    <x v="10"/>
    <x v="288"/>
    <n v="1239747"/>
    <n v="16"/>
    <n v="876"/>
    <n v="762"/>
    <n v="866.5"/>
    <x v="0"/>
  </r>
  <r>
    <x v="21"/>
    <x v="11"/>
    <x v="289"/>
    <n v="2512803"/>
    <n v="20"/>
    <n v="1899"/>
    <n v="1738"/>
    <n v="1424.7"/>
    <x v="0"/>
  </r>
  <r>
    <x v="22"/>
    <x v="11"/>
    <x v="290"/>
    <n v="2560080"/>
    <n v="19"/>
    <n v="1662"/>
    <n v="1506"/>
    <n v="1467.6"/>
    <x v="4"/>
  </r>
  <r>
    <x v="23"/>
    <x v="11"/>
    <x v="291"/>
    <n v="2767270.5"/>
    <n v="19"/>
    <n v="1836"/>
    <n v="1680"/>
    <n v="1643.4"/>
    <x v="3"/>
  </r>
  <r>
    <x v="24"/>
    <x v="11"/>
    <x v="292"/>
    <n v="2235960"/>
    <n v="19"/>
    <n v="1520"/>
    <n v="1380"/>
    <n v="1316.8"/>
    <x v="3"/>
  </r>
  <r>
    <x v="25"/>
    <x v="11"/>
    <x v="293"/>
    <n v="2308336.5"/>
    <n v="19"/>
    <n v="1580"/>
    <n v="1435"/>
    <n v="1378.1"/>
    <x v="3"/>
  </r>
  <r>
    <x v="26"/>
    <x v="11"/>
    <x v="294"/>
    <n v="2526909"/>
    <n v="19"/>
    <n v="1868"/>
    <n v="1706"/>
    <n v="1569.7"/>
    <x v="2"/>
  </r>
  <r>
    <x v="8"/>
    <x v="12"/>
    <x v="295"/>
    <n v="21615333"/>
    <n v="59"/>
    <n v="13186"/>
    <n v="12251"/>
    <n v="3531.4"/>
    <x v="4"/>
  </r>
  <r>
    <x v="16"/>
    <x v="12"/>
    <x v="296"/>
    <n v="21114898.5"/>
    <n v="59"/>
    <n v="12943"/>
    <n v="12072"/>
    <n v="3468.4"/>
    <x v="4"/>
  </r>
  <r>
    <x v="0"/>
    <x v="11"/>
    <x v="297"/>
    <n v="2794324.5"/>
    <n v="21"/>
    <n v="2056"/>
    <n v="1879"/>
    <n v="1493.9"/>
    <x v="0"/>
  </r>
  <r>
    <x v="1"/>
    <x v="11"/>
    <x v="298"/>
    <n v="3005334"/>
    <n v="20"/>
    <n v="2174"/>
    <n v="1957"/>
    <n v="1734.1"/>
    <x v="0"/>
  </r>
  <r>
    <x v="2"/>
    <x v="11"/>
    <x v="299"/>
    <n v="2559211.5"/>
    <n v="20"/>
    <n v="1875"/>
    <n v="1701"/>
    <n v="1409.9"/>
    <x v="0"/>
  </r>
  <r>
    <x v="3"/>
    <x v="12"/>
    <x v="300"/>
    <n v="23689383"/>
    <n v="60"/>
    <n v="14049"/>
    <n v="13118"/>
    <n v="3942.5"/>
    <x v="1"/>
  </r>
  <r>
    <x v="4"/>
    <x v="12"/>
    <x v="301"/>
    <n v="21945858"/>
    <n v="60"/>
    <n v="13867"/>
    <n v="12987"/>
    <n v="3726.6"/>
    <x v="2"/>
  </r>
  <r>
    <x v="5"/>
    <x v="12"/>
    <x v="302"/>
    <n v="19546386"/>
    <n v="60"/>
    <n v="11698"/>
    <n v="10989"/>
    <n v="3222.7"/>
    <x v="1"/>
  </r>
  <r>
    <x v="6"/>
    <x v="12"/>
    <x v="303"/>
    <n v="19218631.5"/>
    <n v="59"/>
    <n v="12016"/>
    <n v="11137"/>
    <n v="3191.8"/>
    <x v="3"/>
  </r>
  <r>
    <x v="7"/>
    <x v="12"/>
    <x v="304"/>
    <n v="24292218"/>
    <n v="59"/>
    <n v="14423"/>
    <n v="13432"/>
    <n v="4026.2"/>
    <x v="3"/>
  </r>
  <r>
    <x v="8"/>
    <x v="13"/>
    <x v="305"/>
    <n v="20871391.5"/>
    <n v="54"/>
    <n v="12747"/>
    <n v="11884"/>
    <n v="3763.1"/>
    <x v="4"/>
  </r>
  <r>
    <x v="9"/>
    <x v="12"/>
    <x v="306"/>
    <n v="19625364"/>
    <n v="59"/>
    <n v="12429"/>
    <n v="11477"/>
    <n v="3152.2"/>
    <x v="4"/>
  </r>
  <r>
    <x v="10"/>
    <x v="12"/>
    <x v="307"/>
    <n v="25163431.5"/>
    <n v="59"/>
    <n v="15369"/>
    <n v="14299"/>
    <n v="4150.8999999999996"/>
    <x v="0"/>
  </r>
  <r>
    <x v="11"/>
    <x v="12"/>
    <x v="308"/>
    <n v="25413351"/>
    <n v="59"/>
    <n v="15222"/>
    <n v="13873"/>
    <n v="4057.8"/>
    <x v="4"/>
  </r>
  <r>
    <x v="12"/>
    <x v="12"/>
    <x v="309"/>
    <n v="19205179.5"/>
    <n v="60"/>
    <n v="12000"/>
    <n v="11194"/>
    <n v="3214.8"/>
    <x v="1"/>
  </r>
  <r>
    <x v="13"/>
    <x v="12"/>
    <x v="310"/>
    <n v="22253295"/>
    <n v="60"/>
    <n v="14005"/>
    <n v="13002"/>
    <n v="3737.2"/>
    <x v="2"/>
  </r>
  <r>
    <x v="14"/>
    <x v="12"/>
    <x v="311"/>
    <n v="21959286"/>
    <n v="60"/>
    <n v="13792"/>
    <n v="12834"/>
    <n v="3660.4"/>
    <x v="2"/>
  </r>
  <r>
    <x v="15"/>
    <x v="12"/>
    <x v="312"/>
    <n v="21919435.5"/>
    <n v="59"/>
    <n v="13469"/>
    <n v="12486"/>
    <n v="3620"/>
    <x v="3"/>
  </r>
  <r>
    <x v="16"/>
    <x v="13"/>
    <x v="313"/>
    <n v="20003263.5"/>
    <n v="54"/>
    <n v="12306"/>
    <n v="11532"/>
    <n v="3624.2"/>
    <x v="4"/>
  </r>
  <r>
    <x v="17"/>
    <x v="12"/>
    <x v="314"/>
    <n v="19437273"/>
    <n v="60"/>
    <n v="12007"/>
    <n v="11245"/>
    <n v="3228.7"/>
    <x v="1"/>
  </r>
  <r>
    <x v="18"/>
    <x v="12"/>
    <x v="315"/>
    <n v="26492278.5"/>
    <n v="59"/>
    <n v="15277"/>
    <n v="14163"/>
    <n v="4359.6000000000004"/>
    <x v="4"/>
  </r>
  <r>
    <x v="19"/>
    <x v="12"/>
    <x v="316"/>
    <n v="23032992"/>
    <n v="59"/>
    <n v="14103"/>
    <n v="13118"/>
    <n v="3809.8"/>
    <x v="3"/>
  </r>
  <r>
    <x v="20"/>
    <x v="12"/>
    <x v="317"/>
    <n v="28590910.5"/>
    <n v="60"/>
    <n v="17295"/>
    <n v="16010"/>
    <n v="4867"/>
    <x v="2"/>
  </r>
  <r>
    <x v="21"/>
    <x v="12"/>
    <x v="318"/>
    <n v="20582743.5"/>
    <n v="59"/>
    <n v="12983"/>
    <n v="12056"/>
    <n v="3368.7"/>
    <x v="0"/>
  </r>
  <r>
    <x v="22"/>
    <x v="12"/>
    <x v="319"/>
    <n v="22530000"/>
    <n v="59"/>
    <n v="13251"/>
    <n v="12255"/>
    <n v="3633.7"/>
    <x v="4"/>
  </r>
  <r>
    <x v="23"/>
    <x v="12"/>
    <x v="320"/>
    <n v="24890404.5"/>
    <n v="59"/>
    <n v="14569"/>
    <n v="13566"/>
    <n v="4132.6000000000004"/>
    <x v="3"/>
  </r>
  <r>
    <x v="24"/>
    <x v="12"/>
    <x v="321"/>
    <n v="23881948.5"/>
    <n v="59"/>
    <n v="14098"/>
    <n v="13106"/>
    <n v="3944.1"/>
    <x v="3"/>
  </r>
  <r>
    <x v="25"/>
    <x v="12"/>
    <x v="322"/>
    <n v="22460130"/>
    <n v="59"/>
    <n v="13495"/>
    <n v="12517"/>
    <n v="3718.8"/>
    <x v="3"/>
  </r>
  <r>
    <x v="26"/>
    <x v="12"/>
    <x v="323"/>
    <n v="19959801"/>
    <n v="60"/>
    <n v="12822"/>
    <n v="11916"/>
    <n v="3333.8"/>
    <x v="2"/>
  </r>
  <r>
    <x v="3"/>
    <x v="13"/>
    <x v="324"/>
    <n v="22355338.5"/>
    <n v="54"/>
    <n v="13170"/>
    <n v="12299"/>
    <n v="4175.6000000000004"/>
    <x v="1"/>
  </r>
  <r>
    <x v="4"/>
    <x v="13"/>
    <x v="325"/>
    <n v="20590072.5"/>
    <n v="54"/>
    <n v="13070"/>
    <n v="12244"/>
    <n v="3915.8"/>
    <x v="2"/>
  </r>
  <r>
    <x v="5"/>
    <x v="13"/>
    <x v="326"/>
    <n v="18449091"/>
    <n v="54"/>
    <n v="11128"/>
    <n v="10467"/>
    <n v="3422.3"/>
    <x v="1"/>
  </r>
  <r>
    <x v="6"/>
    <x v="13"/>
    <x v="327"/>
    <n v="18085798.5"/>
    <n v="54"/>
    <n v="11288"/>
    <n v="10492"/>
    <n v="3295.9"/>
    <x v="3"/>
  </r>
  <r>
    <x v="7"/>
    <x v="13"/>
    <x v="328"/>
    <n v="22796827.5"/>
    <n v="54"/>
    <n v="13606"/>
    <n v="12697"/>
    <n v="4141.1000000000004"/>
    <x v="3"/>
  </r>
  <r>
    <x v="9"/>
    <x v="13"/>
    <x v="329"/>
    <n v="18625921.5"/>
    <n v="54"/>
    <n v="11622"/>
    <n v="10754"/>
    <n v="3266.6"/>
    <x v="4"/>
  </r>
  <r>
    <x v="10"/>
    <x v="13"/>
    <x v="330"/>
    <n v="23856345"/>
    <n v="54"/>
    <n v="14482"/>
    <n v="13510"/>
    <n v="4303.1000000000004"/>
    <x v="0"/>
  </r>
  <r>
    <x v="11"/>
    <x v="13"/>
    <x v="331"/>
    <n v="23953536"/>
    <n v="54"/>
    <n v="14205"/>
    <n v="13026"/>
    <n v="4195.2"/>
    <x v="4"/>
  </r>
  <r>
    <x v="12"/>
    <x v="13"/>
    <x v="332"/>
    <n v="18718036.5"/>
    <n v="54"/>
    <n v="11614"/>
    <n v="10862"/>
    <n v="3512.6"/>
    <x v="1"/>
  </r>
  <r>
    <x v="13"/>
    <x v="13"/>
    <x v="333"/>
    <n v="21042673.5"/>
    <n v="54"/>
    <n v="13240"/>
    <n v="12360"/>
    <n v="3956.3"/>
    <x v="2"/>
  </r>
  <r>
    <x v="14"/>
    <x v="13"/>
    <x v="334"/>
    <n v="21411349.5"/>
    <n v="54"/>
    <n v="13298"/>
    <n v="12428"/>
    <n v="3979.4"/>
    <x v="2"/>
  </r>
  <r>
    <x v="15"/>
    <x v="13"/>
    <x v="335"/>
    <n v="20880142.5"/>
    <n v="54"/>
    <n v="12775"/>
    <n v="11887"/>
    <n v="3774.7"/>
    <x v="3"/>
  </r>
  <r>
    <x v="17"/>
    <x v="13"/>
    <x v="336"/>
    <n v="18784000.5"/>
    <n v="54"/>
    <n v="11522"/>
    <n v="10803"/>
    <n v="3493.8"/>
    <x v="1"/>
  </r>
  <r>
    <x v="0"/>
    <x v="12"/>
    <x v="337"/>
    <n v="21585316.5"/>
    <n v="59"/>
    <n v="13684"/>
    <n v="12690"/>
    <n v="3648.8"/>
    <x v="0"/>
  </r>
  <r>
    <x v="18"/>
    <x v="13"/>
    <x v="338"/>
    <n v="25519072.5"/>
    <n v="54"/>
    <n v="14823"/>
    <n v="13751"/>
    <n v="4595.3"/>
    <x v="4"/>
  </r>
  <r>
    <x v="1"/>
    <x v="12"/>
    <x v="339"/>
    <n v="24527245.5"/>
    <n v="59"/>
    <n v="15030"/>
    <n v="13956"/>
    <n v="4176.5"/>
    <x v="0"/>
  </r>
  <r>
    <x v="19"/>
    <x v="13"/>
    <x v="340"/>
    <n v="22126444.5"/>
    <n v="54"/>
    <n v="13406"/>
    <n v="12518"/>
    <n v="4009.2"/>
    <x v="3"/>
  </r>
  <r>
    <x v="20"/>
    <x v="13"/>
    <x v="341"/>
    <n v="26806626"/>
    <n v="54"/>
    <n v="16221"/>
    <n v="15065"/>
    <n v="5107.3"/>
    <x v="2"/>
  </r>
  <r>
    <x v="2"/>
    <x v="12"/>
    <x v="342"/>
    <n v="20535733.5"/>
    <n v="60"/>
    <n v="12854"/>
    <n v="11954"/>
    <n v="3329.2"/>
    <x v="0"/>
  </r>
  <r>
    <x v="21"/>
    <x v="13"/>
    <x v="343"/>
    <n v="19806927"/>
    <n v="54"/>
    <n v="12336"/>
    <n v="11519"/>
    <n v="3573.1"/>
    <x v="0"/>
  </r>
  <r>
    <x v="22"/>
    <x v="13"/>
    <x v="344"/>
    <n v="21740460"/>
    <n v="54"/>
    <n v="12817"/>
    <n v="11865"/>
    <n v="3815.5"/>
    <x v="4"/>
  </r>
  <r>
    <x v="23"/>
    <x v="13"/>
    <x v="345"/>
    <n v="23443725"/>
    <n v="54"/>
    <n v="13832"/>
    <n v="12864"/>
    <n v="4288.1000000000004"/>
    <x v="3"/>
  </r>
  <r>
    <x v="24"/>
    <x v="13"/>
    <x v="346"/>
    <n v="22846078.5"/>
    <n v="54"/>
    <n v="13563"/>
    <n v="12604"/>
    <n v="4168.1000000000004"/>
    <x v="3"/>
  </r>
  <r>
    <x v="25"/>
    <x v="13"/>
    <x v="347"/>
    <n v="21463023"/>
    <n v="54"/>
    <n v="12743"/>
    <n v="11858"/>
    <n v="3878.1"/>
    <x v="3"/>
  </r>
  <r>
    <x v="26"/>
    <x v="13"/>
    <x v="348"/>
    <n v="19071117"/>
    <n v="54"/>
    <n v="12211"/>
    <n v="11427"/>
    <n v="3587.4"/>
    <x v="2"/>
  </r>
  <r>
    <x v="8"/>
    <x v="14"/>
    <x v="349"/>
    <n v="981519"/>
    <n v="15"/>
    <n v="659"/>
    <n v="575"/>
    <n v="816.7"/>
    <x v="4"/>
  </r>
  <r>
    <x v="16"/>
    <x v="14"/>
    <x v="350"/>
    <n v="992541"/>
    <n v="15"/>
    <n v="636"/>
    <n v="547"/>
    <n v="836.1"/>
    <x v="4"/>
  </r>
  <r>
    <x v="0"/>
    <x v="13"/>
    <x v="351"/>
    <n v="20717248.5"/>
    <n v="54"/>
    <n v="13106"/>
    <n v="12164"/>
    <n v="3828.9"/>
    <x v="0"/>
  </r>
  <r>
    <x v="1"/>
    <x v="13"/>
    <x v="352"/>
    <n v="24151980"/>
    <n v="54"/>
    <n v="14590"/>
    <n v="13551"/>
    <n v="4532.1000000000004"/>
    <x v="0"/>
  </r>
  <r>
    <x v="2"/>
    <x v="13"/>
    <x v="353"/>
    <n v="19549036.5"/>
    <n v="54"/>
    <n v="12409"/>
    <n v="11582"/>
    <n v="3548.9"/>
    <x v="0"/>
  </r>
  <r>
    <x v="3"/>
    <x v="14"/>
    <x v="354"/>
    <n v="1316350.5"/>
    <n v="16"/>
    <n v="920"/>
    <n v="818"/>
    <n v="1023"/>
    <x v="1"/>
  </r>
  <r>
    <x v="4"/>
    <x v="14"/>
    <x v="355"/>
    <n v="1126810.5"/>
    <n v="17"/>
    <n v="857"/>
    <n v="757"/>
    <n v="848.6"/>
    <x v="2"/>
  </r>
  <r>
    <x v="5"/>
    <x v="14"/>
    <x v="266"/>
    <n v="1157529"/>
    <n v="16"/>
    <n v="859"/>
    <n v="746"/>
    <n v="840"/>
    <x v="1"/>
  </r>
  <r>
    <x v="6"/>
    <x v="14"/>
    <x v="356"/>
    <n v="955801.5"/>
    <n v="15"/>
    <n v="654"/>
    <n v="570"/>
    <n v="783"/>
    <x v="3"/>
  </r>
  <r>
    <x v="7"/>
    <x v="14"/>
    <x v="357"/>
    <n v="906343.5"/>
    <n v="15"/>
    <n v="622"/>
    <n v="538"/>
    <n v="737.5"/>
    <x v="3"/>
  </r>
  <r>
    <x v="9"/>
    <x v="14"/>
    <x v="358"/>
    <n v="816859.5"/>
    <n v="15"/>
    <n v="567"/>
    <n v="493"/>
    <n v="667.9"/>
    <x v="4"/>
  </r>
  <r>
    <x v="10"/>
    <x v="15"/>
    <x v="359"/>
    <n v="833815.5"/>
    <n v="7"/>
    <n v="577"/>
    <n v="389"/>
    <n v="1491"/>
    <x v="0"/>
  </r>
  <r>
    <x v="11"/>
    <x v="14"/>
    <x v="360"/>
    <n v="1134444"/>
    <n v="15"/>
    <n v="721"/>
    <n v="625"/>
    <n v="909.6"/>
    <x v="4"/>
  </r>
  <r>
    <x v="12"/>
    <x v="14"/>
    <x v="361"/>
    <n v="1092277.5"/>
    <n v="15"/>
    <n v="750"/>
    <n v="659"/>
    <n v="896.2"/>
    <x v="1"/>
  </r>
  <r>
    <x v="13"/>
    <x v="14"/>
    <x v="362"/>
    <n v="1172574"/>
    <n v="18"/>
    <n v="888"/>
    <n v="786"/>
    <n v="787.9"/>
    <x v="2"/>
  </r>
  <r>
    <x v="14"/>
    <x v="14"/>
    <x v="363"/>
    <n v="1217749.5"/>
    <n v="17"/>
    <n v="890"/>
    <n v="794"/>
    <n v="878.1"/>
    <x v="2"/>
  </r>
  <r>
    <x v="15"/>
    <x v="14"/>
    <x v="364"/>
    <n v="1145575.5"/>
    <n v="15"/>
    <n v="750"/>
    <n v="658"/>
    <n v="929.4"/>
    <x v="3"/>
  </r>
  <r>
    <x v="17"/>
    <x v="14"/>
    <x v="365"/>
    <n v="1172691"/>
    <n v="15"/>
    <n v="854"/>
    <n v="756"/>
    <n v="976.2"/>
    <x v="1"/>
  </r>
  <r>
    <x v="18"/>
    <x v="14"/>
    <x v="366"/>
    <n v="816150"/>
    <n v="15"/>
    <n v="585"/>
    <n v="502"/>
    <n v="668.8"/>
    <x v="4"/>
  </r>
  <r>
    <x v="19"/>
    <x v="14"/>
    <x v="367"/>
    <n v="1016566.5"/>
    <n v="15"/>
    <n v="701"/>
    <n v="611"/>
    <n v="831.2"/>
    <x v="3"/>
  </r>
  <r>
    <x v="20"/>
    <x v="14"/>
    <x v="368"/>
    <n v="1457391"/>
    <n v="18"/>
    <n v="1031"/>
    <n v="918"/>
    <n v="996.8"/>
    <x v="2"/>
  </r>
  <r>
    <x v="21"/>
    <x v="14"/>
    <x v="369"/>
    <n v="1326705"/>
    <n v="18"/>
    <n v="989"/>
    <n v="887"/>
    <n v="878.2"/>
    <x v="0"/>
  </r>
  <r>
    <x v="22"/>
    <x v="14"/>
    <x v="370"/>
    <n v="1004511"/>
    <n v="15"/>
    <n v="644"/>
    <n v="550"/>
    <n v="798.4"/>
    <x v="4"/>
  </r>
  <r>
    <x v="23"/>
    <x v="14"/>
    <x v="371"/>
    <n v="1216557"/>
    <n v="15"/>
    <n v="792"/>
    <n v="695"/>
    <n v="971.1"/>
    <x v="3"/>
  </r>
  <r>
    <x v="24"/>
    <x v="14"/>
    <x v="372"/>
    <n v="1046848.5"/>
    <n v="15"/>
    <n v="703"/>
    <n v="609"/>
    <n v="865.1"/>
    <x v="3"/>
  </r>
  <r>
    <x v="25"/>
    <x v="14"/>
    <x v="373"/>
    <n v="965880"/>
    <n v="15"/>
    <n v="676"/>
    <n v="591"/>
    <n v="781.3"/>
    <x v="3"/>
  </r>
  <r>
    <x v="26"/>
    <x v="14"/>
    <x v="374"/>
    <n v="1386262.5"/>
    <n v="18"/>
    <n v="1006"/>
    <n v="904"/>
    <n v="955.4"/>
    <x v="2"/>
  </r>
  <r>
    <x v="10"/>
    <x v="14"/>
    <x v="375"/>
    <n v="1210456.5"/>
    <n v="18"/>
    <n v="914"/>
    <n v="804"/>
    <n v="801.1"/>
    <x v="0"/>
  </r>
  <r>
    <x v="27"/>
    <x v="0"/>
    <x v="376"/>
    <n v="636345"/>
    <n v="15"/>
    <n v="453"/>
    <n v="370"/>
    <n v="521.1"/>
    <x v="5"/>
  </r>
  <r>
    <x v="0"/>
    <x v="16"/>
    <x v="377"/>
    <n v="493893"/>
    <n v="9"/>
    <n v="345"/>
    <n v="255"/>
    <n v="712.2"/>
    <x v="0"/>
  </r>
  <r>
    <x v="1"/>
    <x v="15"/>
    <x v="378"/>
    <n v="928675.5"/>
    <n v="7"/>
    <n v="532"/>
    <n v="449"/>
    <n v="1602.9"/>
    <x v="0"/>
  </r>
  <r>
    <x v="28"/>
    <x v="0"/>
    <x v="379"/>
    <n v="651237"/>
    <n v="15"/>
    <n v="400"/>
    <n v="329"/>
    <n v="556.70000000000005"/>
    <x v="0"/>
  </r>
  <r>
    <x v="2"/>
    <x v="15"/>
    <x v="380"/>
    <n v="694669.5"/>
    <n v="7"/>
    <n v="420"/>
    <n v="347"/>
    <n v="1204.0999999999999"/>
    <x v="0"/>
  </r>
  <r>
    <x v="29"/>
    <x v="1"/>
    <x v="381"/>
    <n v="3015751.5"/>
    <n v="20"/>
    <n v="2079"/>
    <n v="1893"/>
    <n v="1640.9"/>
    <x v="0"/>
  </r>
  <r>
    <x v="30"/>
    <x v="1"/>
    <x v="382"/>
    <n v="3091069.5"/>
    <n v="21"/>
    <n v="2046"/>
    <n v="1853"/>
    <n v="1715.8"/>
    <x v="2"/>
  </r>
  <r>
    <x v="0"/>
    <x v="17"/>
    <x v="383"/>
    <n v="468835.5"/>
    <n v="6"/>
    <n v="261"/>
    <n v="188"/>
    <n v="854.5"/>
    <x v="0"/>
  </r>
  <r>
    <x v="31"/>
    <x v="1"/>
    <x v="384"/>
    <n v="2479396.5"/>
    <n v="21"/>
    <n v="1597"/>
    <n v="1457"/>
    <n v="1294.5999999999999"/>
    <x v="1"/>
  </r>
  <r>
    <x v="1"/>
    <x v="14"/>
    <x v="385"/>
    <n v="1773154.5"/>
    <n v="18"/>
    <n v="1216"/>
    <n v="1101"/>
    <n v="1149.3"/>
    <x v="0"/>
  </r>
  <r>
    <x v="2"/>
    <x v="14"/>
    <x v="386"/>
    <n v="1387443"/>
    <n v="18"/>
    <n v="1020"/>
    <n v="911"/>
    <n v="871"/>
    <x v="0"/>
  </r>
  <r>
    <x v="32"/>
    <x v="1"/>
    <x v="387"/>
    <n v="2826379.5"/>
    <n v="21"/>
    <n v="1834"/>
    <n v="1660"/>
    <n v="1491.9"/>
    <x v="2"/>
  </r>
  <r>
    <x v="33"/>
    <x v="1"/>
    <x v="388"/>
    <n v="2703132"/>
    <n v="21"/>
    <n v="1706"/>
    <n v="1548"/>
    <n v="1412.3"/>
    <x v="1"/>
  </r>
  <r>
    <x v="34"/>
    <x v="1"/>
    <x v="389"/>
    <n v="3038293.5"/>
    <n v="21"/>
    <n v="1926"/>
    <n v="1742"/>
    <n v="1626.2"/>
    <x v="1"/>
  </r>
  <r>
    <x v="27"/>
    <x v="1"/>
    <x v="390"/>
    <n v="2945035.5"/>
    <n v="21"/>
    <n v="2025"/>
    <n v="1849"/>
    <n v="1521.3"/>
    <x v="5"/>
  </r>
  <r>
    <x v="0"/>
    <x v="15"/>
    <x v="391"/>
    <n v="866023.5"/>
    <n v="7"/>
    <n v="530"/>
    <n v="447"/>
    <n v="1488"/>
    <x v="0"/>
  </r>
  <r>
    <x v="28"/>
    <x v="1"/>
    <x v="392"/>
    <n v="3193167"/>
    <n v="20"/>
    <n v="2111"/>
    <n v="1917"/>
    <n v="1771.6"/>
    <x v="0"/>
  </r>
  <r>
    <x v="29"/>
    <x v="2"/>
    <x v="393"/>
    <n v="6701083.5"/>
    <n v="31"/>
    <n v="5330"/>
    <n v="4977"/>
    <n v="2533.6999999999998"/>
    <x v="0"/>
  </r>
  <r>
    <x v="30"/>
    <x v="2"/>
    <x v="394"/>
    <n v="7728465"/>
    <n v="31"/>
    <n v="5965"/>
    <n v="5533"/>
    <n v="3160.1"/>
    <x v="2"/>
  </r>
  <r>
    <x v="27"/>
    <x v="2"/>
    <x v="395"/>
    <n v="6829921.5"/>
    <n v="31"/>
    <n v="5468"/>
    <n v="5081"/>
    <n v="2492.6"/>
    <x v="5"/>
  </r>
  <r>
    <x v="0"/>
    <x v="14"/>
    <x v="396"/>
    <n v="1423410"/>
    <n v="18"/>
    <n v="1029"/>
    <n v="925"/>
    <n v="896.8"/>
    <x v="0"/>
  </r>
  <r>
    <x v="31"/>
    <x v="2"/>
    <x v="397"/>
    <n v="6398719.5"/>
    <n v="31"/>
    <n v="4826"/>
    <n v="4483"/>
    <n v="2329.6999999999998"/>
    <x v="1"/>
  </r>
  <r>
    <x v="32"/>
    <x v="2"/>
    <x v="398"/>
    <n v="6609714"/>
    <n v="31"/>
    <n v="5165"/>
    <n v="4813"/>
    <n v="2518"/>
    <x v="2"/>
  </r>
  <r>
    <x v="33"/>
    <x v="2"/>
    <x v="399"/>
    <n v="6053649"/>
    <n v="31"/>
    <n v="4695"/>
    <n v="4372"/>
    <n v="2274.1"/>
    <x v="1"/>
  </r>
  <r>
    <x v="34"/>
    <x v="2"/>
    <x v="400"/>
    <n v="6876454.5"/>
    <n v="31"/>
    <n v="5184"/>
    <n v="4778"/>
    <n v="2547.1"/>
    <x v="1"/>
  </r>
  <r>
    <x v="29"/>
    <x v="3"/>
    <x v="401"/>
    <n v="1054798.5"/>
    <n v="10"/>
    <n v="757"/>
    <n v="660"/>
    <n v="1249.0999999999999"/>
    <x v="0"/>
  </r>
  <r>
    <x v="30"/>
    <x v="3"/>
    <x v="402"/>
    <n v="1455049.5"/>
    <n v="10"/>
    <n v="965"/>
    <n v="861"/>
    <n v="1803.6"/>
    <x v="2"/>
  </r>
  <r>
    <x v="27"/>
    <x v="3"/>
    <x v="403"/>
    <n v="1007742"/>
    <n v="10"/>
    <n v="719"/>
    <n v="627"/>
    <n v="1141.7"/>
    <x v="5"/>
  </r>
  <r>
    <x v="31"/>
    <x v="3"/>
    <x v="404"/>
    <n v="734335.5"/>
    <n v="10"/>
    <n v="494"/>
    <n v="421"/>
    <n v="900.8"/>
    <x v="1"/>
  </r>
  <r>
    <x v="28"/>
    <x v="2"/>
    <x v="405"/>
    <n v="7387116"/>
    <n v="31"/>
    <n v="5751"/>
    <n v="5319"/>
    <n v="2824.3"/>
    <x v="0"/>
  </r>
  <r>
    <x v="32"/>
    <x v="3"/>
    <x v="406"/>
    <n v="936427.5"/>
    <n v="10"/>
    <n v="645"/>
    <n v="565"/>
    <n v="1168.0999999999999"/>
    <x v="2"/>
  </r>
  <r>
    <x v="33"/>
    <x v="3"/>
    <x v="246"/>
    <n v="981564"/>
    <n v="10"/>
    <n v="627"/>
    <n v="545"/>
    <n v="1203.8"/>
    <x v="1"/>
  </r>
  <r>
    <x v="34"/>
    <x v="3"/>
    <x v="407"/>
    <n v="1150579.5"/>
    <n v="10"/>
    <n v="743"/>
    <n v="652"/>
    <n v="1442.1"/>
    <x v="1"/>
  </r>
  <r>
    <x v="28"/>
    <x v="3"/>
    <x v="408"/>
    <n v="1273464"/>
    <n v="10"/>
    <n v="873"/>
    <n v="770"/>
    <n v="1482.3"/>
    <x v="0"/>
  </r>
  <r>
    <x v="29"/>
    <x v="4"/>
    <x v="409"/>
    <n v="2924133"/>
    <n v="20"/>
    <n v="2079"/>
    <n v="1856"/>
    <n v="1562.9"/>
    <x v="0"/>
  </r>
  <r>
    <x v="30"/>
    <x v="4"/>
    <x v="410"/>
    <n v="3414180"/>
    <n v="20"/>
    <n v="2306"/>
    <n v="2054"/>
    <n v="1903.7"/>
    <x v="2"/>
  </r>
  <r>
    <x v="27"/>
    <x v="4"/>
    <x v="411"/>
    <n v="3013512"/>
    <n v="20"/>
    <n v="2136"/>
    <n v="1899"/>
    <n v="1608.5"/>
    <x v="5"/>
  </r>
  <r>
    <x v="31"/>
    <x v="4"/>
    <x v="412"/>
    <n v="3911979"/>
    <n v="19"/>
    <n v="2530"/>
    <n v="2270"/>
    <n v="2231.4"/>
    <x v="1"/>
  </r>
  <r>
    <x v="32"/>
    <x v="4"/>
    <x v="413"/>
    <n v="2588148"/>
    <n v="19"/>
    <n v="1858"/>
    <n v="1648"/>
    <n v="1508.8"/>
    <x v="2"/>
  </r>
  <r>
    <x v="33"/>
    <x v="4"/>
    <x v="414"/>
    <n v="2441520"/>
    <n v="19"/>
    <n v="1675"/>
    <n v="1475"/>
    <n v="1442.7"/>
    <x v="1"/>
  </r>
  <r>
    <x v="34"/>
    <x v="4"/>
    <x v="415"/>
    <n v="2949078"/>
    <n v="19"/>
    <n v="1940"/>
    <n v="1715"/>
    <n v="1729.2"/>
    <x v="1"/>
  </r>
  <r>
    <x v="28"/>
    <x v="4"/>
    <x v="416"/>
    <n v="3258054"/>
    <n v="20"/>
    <n v="2249"/>
    <n v="2000"/>
    <n v="1767.3"/>
    <x v="0"/>
  </r>
  <r>
    <x v="29"/>
    <x v="5"/>
    <x v="417"/>
    <n v="29256993"/>
    <n v="129"/>
    <n v="17115"/>
    <n v="15962"/>
    <n v="2221.4"/>
    <x v="0"/>
  </r>
  <r>
    <x v="30"/>
    <x v="5"/>
    <x v="418"/>
    <n v="29465769"/>
    <n v="129"/>
    <n v="17088"/>
    <n v="15804"/>
    <n v="2357.3000000000002"/>
    <x v="2"/>
  </r>
  <r>
    <x v="27"/>
    <x v="5"/>
    <x v="419"/>
    <n v="27770092.5"/>
    <n v="128"/>
    <n v="16285"/>
    <n v="15130"/>
    <n v="2132.1999999999998"/>
    <x v="5"/>
  </r>
  <r>
    <x v="31"/>
    <x v="5"/>
    <x v="420"/>
    <n v="24628233.223949999"/>
    <n v="129"/>
    <n v="14043"/>
    <n v="13167"/>
    <n v="1838"/>
    <x v="1"/>
  </r>
  <r>
    <x v="32"/>
    <x v="5"/>
    <x v="421"/>
    <n v="27535284.147600003"/>
    <n v="129"/>
    <n v="16110"/>
    <n v="14992"/>
    <n v="2123.3000000000002"/>
    <x v="2"/>
  </r>
  <r>
    <x v="33"/>
    <x v="5"/>
    <x v="422"/>
    <n v="28181292"/>
    <n v="129"/>
    <n v="15804"/>
    <n v="14738"/>
    <n v="2124.5"/>
    <x v="1"/>
  </r>
  <r>
    <x v="34"/>
    <x v="5"/>
    <x v="423"/>
    <n v="32354331"/>
    <n v="129"/>
    <n v="17808"/>
    <n v="16486"/>
    <n v="2471.4"/>
    <x v="1"/>
  </r>
  <r>
    <x v="29"/>
    <x v="6"/>
    <x v="424"/>
    <n v="39034861.5"/>
    <n v="124"/>
    <n v="21384"/>
    <n v="19897"/>
    <n v="2984"/>
    <x v="0"/>
  </r>
  <r>
    <x v="30"/>
    <x v="6"/>
    <x v="425"/>
    <n v="39498373.5"/>
    <n v="125"/>
    <n v="21427"/>
    <n v="19799"/>
    <n v="3144.1"/>
    <x v="2"/>
  </r>
  <r>
    <x v="27"/>
    <x v="6"/>
    <x v="426"/>
    <n v="37257840.18135"/>
    <n v="123"/>
    <n v="20325"/>
    <n v="18935"/>
    <n v="2843.1"/>
    <x v="5"/>
  </r>
  <r>
    <x v="31"/>
    <x v="6"/>
    <x v="427"/>
    <n v="33781581"/>
    <n v="125"/>
    <n v="18066"/>
    <n v="16883"/>
    <n v="2548.5"/>
    <x v="1"/>
  </r>
  <r>
    <x v="28"/>
    <x v="5"/>
    <x v="428"/>
    <n v="41767140.105000004"/>
    <n v="129"/>
    <n v="22403"/>
    <n v="20676"/>
    <n v="3278.8"/>
    <x v="0"/>
  </r>
  <r>
    <x v="32"/>
    <x v="6"/>
    <x v="429"/>
    <n v="36876888"/>
    <n v="125"/>
    <n v="20449"/>
    <n v="19060"/>
    <n v="2840.7"/>
    <x v="2"/>
  </r>
  <r>
    <x v="33"/>
    <x v="6"/>
    <x v="430"/>
    <n v="37963150.5"/>
    <n v="125"/>
    <n v="20247"/>
    <n v="18812"/>
    <n v="2867.1"/>
    <x v="1"/>
  </r>
  <r>
    <x v="34"/>
    <x v="6"/>
    <x v="431"/>
    <n v="42271377"/>
    <n v="125"/>
    <n v="21862"/>
    <n v="20235"/>
    <n v="3226.1"/>
    <x v="1"/>
  </r>
  <r>
    <x v="29"/>
    <x v="7"/>
    <x v="432"/>
    <n v="5985894"/>
    <n v="36"/>
    <n v="4951"/>
    <n v="4584"/>
    <n v="1917"/>
    <x v="0"/>
  </r>
  <r>
    <x v="30"/>
    <x v="7"/>
    <x v="433"/>
    <n v="5943489"/>
    <n v="36"/>
    <n v="4857"/>
    <n v="4456"/>
    <n v="2106.1"/>
    <x v="2"/>
  </r>
  <r>
    <x v="27"/>
    <x v="7"/>
    <x v="434"/>
    <n v="5800290"/>
    <n v="37"/>
    <n v="4722"/>
    <n v="4352"/>
    <n v="1749.7"/>
    <x v="5"/>
  </r>
  <r>
    <x v="31"/>
    <x v="7"/>
    <x v="435"/>
    <n v="5178169.5"/>
    <n v="36"/>
    <n v="4150"/>
    <n v="3838"/>
    <n v="1654.8"/>
    <x v="1"/>
  </r>
  <r>
    <x v="28"/>
    <x v="6"/>
    <x v="436"/>
    <n v="54172029"/>
    <n v="124"/>
    <n v="25828"/>
    <n v="23974"/>
    <n v="4229.7"/>
    <x v="0"/>
  </r>
  <r>
    <x v="32"/>
    <x v="7"/>
    <x v="437"/>
    <n v="5798476.5"/>
    <n v="36"/>
    <n v="4885"/>
    <n v="4502"/>
    <n v="1952.2"/>
    <x v="2"/>
  </r>
  <r>
    <x v="33"/>
    <x v="7"/>
    <x v="438"/>
    <n v="5366602.5"/>
    <n v="36"/>
    <n v="4285"/>
    <n v="3950"/>
    <n v="1767.9"/>
    <x v="1"/>
  </r>
  <r>
    <x v="34"/>
    <x v="7"/>
    <x v="439"/>
    <n v="6293952"/>
    <n v="36"/>
    <n v="4862"/>
    <n v="4476"/>
    <n v="2101.1999999999998"/>
    <x v="1"/>
  </r>
  <r>
    <x v="29"/>
    <x v="8"/>
    <x v="440"/>
    <n v="3780852"/>
    <n v="21"/>
    <n v="2430"/>
    <n v="2216"/>
    <n v="1924.8"/>
    <x v="0"/>
  </r>
  <r>
    <x v="30"/>
    <x v="8"/>
    <x v="441"/>
    <n v="4840833"/>
    <n v="21"/>
    <n v="2861"/>
    <n v="2612"/>
    <n v="2563.6999999999998"/>
    <x v="2"/>
  </r>
  <r>
    <x v="27"/>
    <x v="8"/>
    <x v="442"/>
    <n v="3865251"/>
    <n v="23"/>
    <n v="2531"/>
    <n v="2296"/>
    <n v="1762.1"/>
    <x v="5"/>
  </r>
  <r>
    <x v="31"/>
    <x v="8"/>
    <x v="443"/>
    <n v="3079630.5"/>
    <n v="21"/>
    <n v="1916"/>
    <n v="1733"/>
    <n v="1558.7"/>
    <x v="1"/>
  </r>
  <r>
    <x v="28"/>
    <x v="7"/>
    <x v="444"/>
    <n v="7228395"/>
    <n v="37"/>
    <n v="5672"/>
    <n v="5198"/>
    <n v="2282"/>
    <x v="0"/>
  </r>
  <r>
    <x v="32"/>
    <x v="8"/>
    <x v="445"/>
    <n v="3360135"/>
    <n v="21"/>
    <n v="2136"/>
    <n v="1947"/>
    <n v="1745.5"/>
    <x v="2"/>
  </r>
  <r>
    <x v="33"/>
    <x v="8"/>
    <x v="446"/>
    <n v="3166479"/>
    <n v="21"/>
    <n v="1993"/>
    <n v="1796"/>
    <n v="1613.6"/>
    <x v="1"/>
  </r>
  <r>
    <x v="34"/>
    <x v="8"/>
    <x v="447"/>
    <n v="3772258.5"/>
    <n v="21"/>
    <n v="2255"/>
    <n v="2045"/>
    <n v="1985.6"/>
    <x v="1"/>
  </r>
  <r>
    <x v="28"/>
    <x v="8"/>
    <x v="448"/>
    <n v="4108596"/>
    <n v="22"/>
    <n v="2597"/>
    <n v="2379"/>
    <n v="2025.9"/>
    <x v="0"/>
  </r>
  <r>
    <x v="29"/>
    <x v="9"/>
    <x v="449"/>
    <n v="1603084.5"/>
    <n v="17"/>
    <n v="1203"/>
    <n v="1077"/>
    <n v="1062.9000000000001"/>
    <x v="0"/>
  </r>
  <r>
    <x v="30"/>
    <x v="9"/>
    <x v="450"/>
    <n v="1774329"/>
    <n v="17"/>
    <n v="1268"/>
    <n v="1129"/>
    <n v="1263.7"/>
    <x v="2"/>
  </r>
  <r>
    <x v="27"/>
    <x v="9"/>
    <x v="451"/>
    <n v="1526608.5"/>
    <n v="17"/>
    <n v="1185"/>
    <n v="1042"/>
    <n v="981.6"/>
    <x v="5"/>
  </r>
  <r>
    <x v="31"/>
    <x v="9"/>
    <x v="452"/>
    <n v="1096002"/>
    <n v="15"/>
    <n v="812"/>
    <n v="714"/>
    <n v="815.9"/>
    <x v="1"/>
  </r>
  <r>
    <x v="32"/>
    <x v="9"/>
    <x v="453"/>
    <n v="1246162.5"/>
    <n v="16"/>
    <n v="925"/>
    <n v="816"/>
    <n v="893.2"/>
    <x v="2"/>
  </r>
  <r>
    <x v="33"/>
    <x v="9"/>
    <x v="454"/>
    <n v="1223491.5"/>
    <n v="15"/>
    <n v="890"/>
    <n v="777"/>
    <n v="959"/>
    <x v="1"/>
  </r>
  <r>
    <x v="34"/>
    <x v="9"/>
    <x v="455"/>
    <n v="1370482.5"/>
    <n v="15"/>
    <n v="980"/>
    <n v="867"/>
    <n v="1099.9000000000001"/>
    <x v="1"/>
  </r>
  <r>
    <x v="29"/>
    <x v="10"/>
    <x v="456"/>
    <n v="1211457"/>
    <n v="15"/>
    <n v="809"/>
    <n v="702"/>
    <n v="880.2"/>
    <x v="0"/>
  </r>
  <r>
    <x v="30"/>
    <x v="10"/>
    <x v="457"/>
    <n v="1411909.5"/>
    <n v="15"/>
    <n v="903"/>
    <n v="792"/>
    <n v="1053.5"/>
    <x v="2"/>
  </r>
  <r>
    <x v="27"/>
    <x v="10"/>
    <x v="458"/>
    <n v="1565632.5"/>
    <n v="16"/>
    <n v="1019"/>
    <n v="895"/>
    <n v="1029.8"/>
    <x v="5"/>
  </r>
  <r>
    <x v="31"/>
    <x v="10"/>
    <x v="459"/>
    <n v="1081158"/>
    <n v="15"/>
    <n v="684"/>
    <n v="585"/>
    <n v="843.6"/>
    <x v="1"/>
  </r>
  <r>
    <x v="28"/>
    <x v="9"/>
    <x v="460"/>
    <n v="1764669"/>
    <n v="17"/>
    <n v="1296"/>
    <n v="1153"/>
    <n v="1155.7"/>
    <x v="0"/>
  </r>
  <r>
    <x v="32"/>
    <x v="10"/>
    <x v="461"/>
    <n v="1115146.5"/>
    <n v="15"/>
    <n v="729"/>
    <n v="636"/>
    <n v="830"/>
    <x v="2"/>
  </r>
  <r>
    <x v="33"/>
    <x v="10"/>
    <x v="462"/>
    <n v="963502.5"/>
    <n v="15"/>
    <n v="638"/>
    <n v="548"/>
    <n v="744.1"/>
    <x v="1"/>
  </r>
  <r>
    <x v="34"/>
    <x v="10"/>
    <x v="463"/>
    <n v="1122730.5"/>
    <n v="15"/>
    <n v="688"/>
    <n v="598"/>
    <n v="815.3"/>
    <x v="1"/>
  </r>
  <r>
    <x v="29"/>
    <x v="11"/>
    <x v="464"/>
    <n v="2458555.5"/>
    <n v="20"/>
    <n v="1873"/>
    <n v="1715"/>
    <n v="1402.5"/>
    <x v="0"/>
  </r>
  <r>
    <x v="30"/>
    <x v="11"/>
    <x v="465"/>
    <n v="2540715"/>
    <n v="19"/>
    <n v="1859"/>
    <n v="1697"/>
    <n v="1620.1"/>
    <x v="2"/>
  </r>
  <r>
    <x v="27"/>
    <x v="11"/>
    <x v="466"/>
    <n v="2538967.5"/>
    <n v="21"/>
    <n v="1879"/>
    <n v="1720"/>
    <n v="1331.4"/>
    <x v="5"/>
  </r>
  <r>
    <x v="31"/>
    <x v="11"/>
    <x v="467"/>
    <n v="2164365"/>
    <n v="19"/>
    <n v="1527"/>
    <n v="1389"/>
    <n v="1243.7"/>
    <x v="1"/>
  </r>
  <r>
    <x v="28"/>
    <x v="10"/>
    <x v="468"/>
    <n v="1549020"/>
    <n v="16"/>
    <n v="981"/>
    <n v="859"/>
    <n v="1065.8"/>
    <x v="0"/>
  </r>
  <r>
    <x v="32"/>
    <x v="11"/>
    <x v="469"/>
    <n v="2324490"/>
    <n v="19"/>
    <n v="1741"/>
    <n v="1597"/>
    <n v="1430.6"/>
    <x v="2"/>
  </r>
  <r>
    <x v="33"/>
    <x v="11"/>
    <x v="470"/>
    <n v="2225341.5"/>
    <n v="19"/>
    <n v="1635"/>
    <n v="1487"/>
    <n v="1350.3"/>
    <x v="1"/>
  </r>
  <r>
    <x v="34"/>
    <x v="11"/>
    <x v="471"/>
    <n v="2477487"/>
    <n v="19"/>
    <n v="1780"/>
    <n v="1615"/>
    <n v="1541.2"/>
    <x v="1"/>
  </r>
  <r>
    <x v="28"/>
    <x v="11"/>
    <x v="472"/>
    <n v="2854741.5"/>
    <n v="20"/>
    <n v="2064"/>
    <n v="1896"/>
    <n v="1639.1"/>
    <x v="0"/>
  </r>
  <r>
    <x v="29"/>
    <x v="12"/>
    <x v="473"/>
    <n v="22342300.5"/>
    <n v="59"/>
    <n v="13942"/>
    <n v="12986"/>
    <n v="3654.1"/>
    <x v="0"/>
  </r>
  <r>
    <x v="30"/>
    <x v="12"/>
    <x v="474"/>
    <n v="22380772.5"/>
    <n v="60"/>
    <n v="14050"/>
    <n v="13027"/>
    <n v="3805.6"/>
    <x v="2"/>
  </r>
  <r>
    <x v="27"/>
    <x v="12"/>
    <x v="475"/>
    <n v="19465372.5"/>
    <n v="59"/>
    <n v="12299"/>
    <n v="11448"/>
    <n v="3199.6"/>
    <x v="5"/>
  </r>
  <r>
    <x v="31"/>
    <x v="12"/>
    <x v="476"/>
    <n v="17919144"/>
    <n v="60"/>
    <n v="11100"/>
    <n v="10407"/>
    <n v="2921.6"/>
    <x v="1"/>
  </r>
  <r>
    <x v="32"/>
    <x v="12"/>
    <x v="477"/>
    <n v="20422435.5"/>
    <n v="60"/>
    <n v="12460"/>
    <n v="11665"/>
    <n v="3366.7"/>
    <x v="2"/>
  </r>
  <r>
    <x v="33"/>
    <x v="12"/>
    <x v="478"/>
    <n v="19942435.5"/>
    <n v="60"/>
    <n v="11935"/>
    <n v="11178"/>
    <n v="3299.1"/>
    <x v="1"/>
  </r>
  <r>
    <x v="34"/>
    <x v="12"/>
    <x v="479"/>
    <n v="23085222"/>
    <n v="60"/>
    <n v="13544"/>
    <n v="12643"/>
    <n v="3848.3"/>
    <x v="1"/>
  </r>
  <r>
    <x v="29"/>
    <x v="13"/>
    <x v="480"/>
    <n v="20953324.5"/>
    <n v="54"/>
    <n v="13091"/>
    <n v="12216"/>
    <n v="3769.1"/>
    <x v="0"/>
  </r>
  <r>
    <x v="30"/>
    <x v="13"/>
    <x v="481"/>
    <n v="20812585.5"/>
    <n v="54"/>
    <n v="13014"/>
    <n v="12095"/>
    <n v="3970.9"/>
    <x v="2"/>
  </r>
  <r>
    <x v="27"/>
    <x v="13"/>
    <x v="482"/>
    <n v="18914194.5"/>
    <n v="54"/>
    <n v="11864"/>
    <n v="11071"/>
    <n v="3393.1"/>
    <x v="5"/>
  </r>
  <r>
    <x v="31"/>
    <x v="13"/>
    <x v="483"/>
    <n v="16971231"/>
    <n v="54"/>
    <n v="10570"/>
    <n v="9926"/>
    <n v="3091.6"/>
    <x v="1"/>
  </r>
  <r>
    <x v="28"/>
    <x v="12"/>
    <x v="484"/>
    <n v="23120443.5"/>
    <n v="59"/>
    <n v="14507"/>
    <n v="13386"/>
    <n v="3933.9"/>
    <x v="0"/>
  </r>
  <r>
    <x v="32"/>
    <x v="13"/>
    <x v="485"/>
    <n v="19855122"/>
    <n v="54"/>
    <n v="12012"/>
    <n v="11308"/>
    <n v="3640"/>
    <x v="2"/>
  </r>
  <r>
    <x v="33"/>
    <x v="13"/>
    <x v="486"/>
    <n v="18640998"/>
    <n v="54"/>
    <n v="11194"/>
    <n v="10554"/>
    <n v="3453.6"/>
    <x v="1"/>
  </r>
  <r>
    <x v="34"/>
    <x v="13"/>
    <x v="487"/>
    <n v="21895294.5"/>
    <n v="54"/>
    <n v="12791"/>
    <n v="11950"/>
    <n v="4069.9"/>
    <x v="1"/>
  </r>
  <r>
    <x v="28"/>
    <x v="13"/>
    <x v="488"/>
    <n v="22416151.5"/>
    <n v="54"/>
    <n v="14031"/>
    <n v="12943"/>
    <n v="4194"/>
    <x v="0"/>
  </r>
  <r>
    <x v="29"/>
    <x v="15"/>
    <x v="489"/>
    <n v="687684"/>
    <n v="7"/>
    <n v="409"/>
    <n v="329"/>
    <n v="1194.5999999999999"/>
    <x v="0"/>
  </r>
  <r>
    <x v="30"/>
    <x v="14"/>
    <x v="490"/>
    <n v="1398771"/>
    <n v="18"/>
    <n v="985"/>
    <n v="861"/>
    <n v="944.9"/>
    <x v="2"/>
  </r>
  <r>
    <x v="27"/>
    <x v="16"/>
    <x v="491"/>
    <n v="389013"/>
    <n v="9"/>
    <n v="294"/>
    <n v="224"/>
    <n v="574"/>
    <x v="5"/>
  </r>
  <r>
    <x v="31"/>
    <x v="14"/>
    <x v="492"/>
    <n v="880356"/>
    <n v="15"/>
    <n v="654"/>
    <n v="564"/>
    <n v="729.4"/>
    <x v="1"/>
  </r>
  <r>
    <x v="32"/>
    <x v="14"/>
    <x v="493"/>
    <n v="1230711"/>
    <n v="16"/>
    <n v="864"/>
    <n v="765"/>
    <n v="906.1"/>
    <x v="2"/>
  </r>
  <r>
    <x v="33"/>
    <x v="14"/>
    <x v="494"/>
    <n v="1131676.5"/>
    <n v="16"/>
    <n v="834"/>
    <n v="735"/>
    <n v="863.2"/>
    <x v="1"/>
  </r>
  <r>
    <x v="34"/>
    <x v="14"/>
    <x v="495"/>
    <n v="1091040"/>
    <n v="16"/>
    <n v="817"/>
    <n v="718"/>
    <n v="859.5"/>
    <x v="1"/>
  </r>
  <r>
    <x v="29"/>
    <x v="14"/>
    <x v="496"/>
    <n v="1350199.5"/>
    <n v="18"/>
    <n v="962"/>
    <n v="859"/>
    <n v="848.7"/>
    <x v="0"/>
  </r>
  <r>
    <x v="27"/>
    <x v="17"/>
    <x v="497"/>
    <n v="410892"/>
    <n v="6"/>
    <n v="237"/>
    <n v="175"/>
    <n v="734.8"/>
    <x v="5"/>
  </r>
  <r>
    <x v="28"/>
    <x v="15"/>
    <x v="498"/>
    <n v="850840.5"/>
    <n v="7"/>
    <n v="491"/>
    <n v="411"/>
    <n v="1418.1"/>
    <x v="0"/>
  </r>
  <r>
    <x v="27"/>
    <x v="15"/>
    <x v="499"/>
    <n v="802447.5"/>
    <n v="7"/>
    <n v="500"/>
    <n v="418"/>
    <n v="1353.4"/>
    <x v="5"/>
  </r>
  <r>
    <x v="28"/>
    <x v="14"/>
    <x v="500"/>
    <n v="1438255.5"/>
    <n v="18"/>
    <n v="1014"/>
    <n v="893"/>
    <n v="937.7"/>
    <x v="0"/>
  </r>
  <r>
    <x v="27"/>
    <x v="14"/>
    <x v="501"/>
    <n v="1293219"/>
    <n v="18"/>
    <n v="923"/>
    <n v="824"/>
    <n v="79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11F5E-05D8-408E-8142-BF228E2F33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G26" firstHeaderRow="0" firstDataRow="1" firstDataCol="1"/>
  <pivotFields count="9">
    <pivotField numFmtId="164" showAll="0"/>
    <pivotField axis="axisRow" showAll="0">
      <items count="19">
        <item sd="0" x="7"/>
        <item sd="0" x="2"/>
        <item sd="0" x="8"/>
        <item sd="0" x="1"/>
        <item sd="0" x="11"/>
        <item sd="0" x="13"/>
        <item sd="0" x="12"/>
        <item sd="0" x="4"/>
        <item sd="0" x="14"/>
        <item sd="0" x="9"/>
        <item sd="0" x="10"/>
        <item sd="0" x="0"/>
        <item sd="0" x="6"/>
        <item sd="0" x="5"/>
        <item sd="0" x="3"/>
        <item sd="0" x="16"/>
        <item sd="0" x="15"/>
        <item sd="0" x="17"/>
        <item t="default" sd="0"/>
      </items>
    </pivotField>
    <pivotField dataField="1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7">
        <item sd="0" x="4"/>
        <item sd="0" x="3"/>
        <item sd="0" x="1"/>
        <item sd="0" x="2"/>
        <item sd="0" x="0"/>
        <item x="5"/>
        <item t="default"/>
      </items>
    </pivotField>
  </pivotFields>
  <rowFields count="2">
    <field x="1"/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Товарооборот, шт" fld="2" baseField="0" baseItem="0"/>
    <dataField name="Sum of Товарооборот, руб" fld="3" baseField="0" baseItem="0"/>
    <dataField name="Sum of Количество складов" fld="4" baseField="0" baseItem="0"/>
    <dataField name="Sum of Количество заказов" fld="5" baseField="0" baseItem="0"/>
    <dataField name="Sum of Количество клиентов" fld="6" baseField="0" baseItem="0"/>
    <dataField name="Sum of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12B7F-FEB1-4BCA-BFCF-C47DBB3CB5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2:M9" firstHeaderRow="0" firstDataRow="1" firstDataCol="1"/>
  <pivotFields count="9">
    <pivotField numFmtId="164" showAll="0"/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шт" fld="2" baseField="0" baseItem="0"/>
    <dataField name="Sum of Товарооборот на склад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770E6-906A-447F-A3E8-750332490629}" name="Table1" displayName="Table1" ref="A1:I505" totalsRowShown="0" headerRowDxfId="10" dataDxfId="9" tableBorderDxfId="8">
  <autoFilter ref="A1:I505" xr:uid="{00000000-0001-0000-0000-000000000000}"/>
  <tableColumns count="9">
    <tableColumn id="1" xr3:uid="{AAA34996-2D93-4285-B822-655AE405D9DE}" name="Дата" dataDxfId="7"/>
    <tableColumn id="2" xr3:uid="{8E68F1F3-C075-4C84-A7A6-8E998A7D91F5}" name="Территория" dataDxfId="6"/>
    <tableColumn id="3" xr3:uid="{B79B0CA5-CC02-4682-B216-D90D2C0B19A0}" name="Товарооборот, шт" dataDxfId="5"/>
    <tableColumn id="4" xr3:uid="{52F7A47B-41B5-4D3A-9B0B-F7E1BC4349E0}" name="Товарооборот, руб" dataDxfId="4"/>
    <tableColumn id="5" xr3:uid="{F14B19AF-1F89-4434-AC30-D065881D113C}" name="Количество складов" dataDxfId="3">
      <calculatedColumnFormula array="1">_xlfn.XLOOKUP(A2&amp;B2,Лист2!A:A&amp;Лист2!B:B,Лист2!C:C,0,0)</calculatedColumnFormula>
    </tableColumn>
    <tableColumn id="6" xr3:uid="{CA446132-DC0E-43BF-A9D4-4FB57C314CBB}" name="Количество заказов" dataDxfId="2">
      <calculatedColumnFormula array="1">_xlfn.XLOOKUP(A2&amp;B2,Лист2!A:A&amp;Лист2!B:B,Лист2!D:D,0,0)</calculatedColumnFormula>
    </tableColumn>
    <tableColumn id="7" xr3:uid="{F0193F1E-51DF-4B69-B411-ACA6BA7C50A1}" name="Количество клиентов" dataDxfId="1">
      <calculatedColumnFormula array="1">_xlfn.XLOOKUP(A2&amp;B2,Лист2!A:A&amp;Лист2!B:B,Лист2!E:E,0,0)</calculatedColumnFormula>
    </tableColumn>
    <tableColumn id="8" xr3:uid="{6E1B81BB-9CA8-4C96-8AA8-6A5D9B1DE0A9}" name="Товарооборот на склад" dataDxfId="0">
      <calculatedColumnFormula>ROUND(C2/E2, 1)</calculatedColumnFormula>
    </tableColumn>
    <tableColumn id="9" xr3:uid="{0BC047B3-1AE5-4EF5-8D46-AA754218F8AE}" name="Неделя">
      <calculatedColumnFormula>WEEKNUM(A2,2)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C5F-C39B-4C2E-996D-57930290B04A}">
  <dimension ref="A1:G26"/>
  <sheetViews>
    <sheetView tabSelected="1" workbookViewId="0">
      <selection activeCell="A8" sqref="A8"/>
    </sheetView>
  </sheetViews>
  <sheetFormatPr defaultRowHeight="14.25" x14ac:dyDescent="0.45"/>
  <cols>
    <col min="1" max="1" width="22.06640625" bestFit="1" customWidth="1"/>
    <col min="2" max="2" width="22.265625" bestFit="1" customWidth="1"/>
    <col min="3" max="3" width="23.06640625" bestFit="1" customWidth="1"/>
    <col min="4" max="4" width="24.06640625" bestFit="1" customWidth="1"/>
    <col min="5" max="5" width="23.6640625" bestFit="1" customWidth="1"/>
    <col min="6" max="6" width="25.1328125" bestFit="1" customWidth="1"/>
    <col min="7" max="7" width="26.9296875" bestFit="1" customWidth="1"/>
  </cols>
  <sheetData>
    <row r="1" spans="1:7" ht="42.75" x14ac:dyDescent="0.45">
      <c r="A1" s="22" t="s">
        <v>35</v>
      </c>
      <c r="D1" s="23" t="s">
        <v>36</v>
      </c>
    </row>
    <row r="2" spans="1:7" x14ac:dyDescent="0.45">
      <c r="A2" s="18" t="s">
        <v>27</v>
      </c>
      <c r="B2" s="19" t="s">
        <v>29</v>
      </c>
      <c r="D2" s="18" t="s">
        <v>27</v>
      </c>
      <c r="E2" s="19" t="s">
        <v>34</v>
      </c>
    </row>
    <row r="3" spans="1:7" x14ac:dyDescent="0.45">
      <c r="A3" s="16" t="s">
        <v>15</v>
      </c>
      <c r="B3" s="17">
        <v>349699.5</v>
      </c>
      <c r="D3" s="24" t="s">
        <v>22</v>
      </c>
      <c r="E3" s="25">
        <v>3393.1</v>
      </c>
    </row>
    <row r="4" spans="1:7" x14ac:dyDescent="0.45">
      <c r="A4" s="16" t="s">
        <v>14</v>
      </c>
      <c r="B4" s="17">
        <v>272926.5</v>
      </c>
      <c r="D4" s="24" t="s">
        <v>21</v>
      </c>
      <c r="E4" s="25">
        <v>3199.6</v>
      </c>
    </row>
    <row r="5" spans="1:7" x14ac:dyDescent="0.45">
      <c r="A5" s="16" t="s">
        <v>21</v>
      </c>
      <c r="B5" s="17">
        <v>188776.5</v>
      </c>
      <c r="D5" s="24" t="s">
        <v>15</v>
      </c>
      <c r="E5" s="25">
        <v>2843.1</v>
      </c>
    </row>
    <row r="6" spans="1:7" x14ac:dyDescent="0.45">
      <c r="A6" s="20"/>
      <c r="B6" s="21"/>
      <c r="D6" s="24"/>
      <c r="E6" s="25"/>
    </row>
    <row r="7" spans="1:7" x14ac:dyDescent="0.45">
      <c r="A7" s="13" t="s">
        <v>27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45">
      <c r="A8" s="14" t="s">
        <v>16</v>
      </c>
      <c r="B8" s="15">
        <v>2577885</v>
      </c>
      <c r="C8" s="15">
        <v>218000127</v>
      </c>
      <c r="D8" s="15">
        <v>1265</v>
      </c>
      <c r="E8" s="15">
        <v>172778</v>
      </c>
      <c r="F8" s="15">
        <v>159095</v>
      </c>
      <c r="G8" s="15">
        <v>71305.89999999998</v>
      </c>
    </row>
    <row r="9" spans="1:7" x14ac:dyDescent="0.45">
      <c r="A9" s="14" t="s">
        <v>11</v>
      </c>
      <c r="B9" s="15">
        <v>2815608</v>
      </c>
      <c r="C9" s="15">
        <v>243409003.5</v>
      </c>
      <c r="D9" s="15">
        <v>1085</v>
      </c>
      <c r="E9" s="15">
        <v>185239</v>
      </c>
      <c r="F9" s="15">
        <v>171710</v>
      </c>
      <c r="G9" s="15">
        <v>90826.10000000002</v>
      </c>
    </row>
    <row r="10" spans="1:7" x14ac:dyDescent="0.45">
      <c r="A10" s="14" t="s">
        <v>17</v>
      </c>
      <c r="B10" s="15">
        <v>1308087</v>
      </c>
      <c r="C10" s="15">
        <v>120582837</v>
      </c>
      <c r="D10" s="15">
        <v>731</v>
      </c>
      <c r="E10" s="15">
        <v>75638</v>
      </c>
      <c r="F10" s="15">
        <v>68745</v>
      </c>
      <c r="G10" s="15">
        <v>62498.299999999988</v>
      </c>
    </row>
    <row r="11" spans="1:7" x14ac:dyDescent="0.45">
      <c r="A11" s="14" t="s">
        <v>10</v>
      </c>
      <c r="B11" s="15">
        <v>1130320.5</v>
      </c>
      <c r="C11" s="15">
        <v>101673535.5</v>
      </c>
      <c r="D11" s="15">
        <v>710</v>
      </c>
      <c r="E11" s="15">
        <v>65493</v>
      </c>
      <c r="F11" s="15">
        <v>59630</v>
      </c>
      <c r="G11" s="15">
        <v>55774.799999999996</v>
      </c>
    </row>
    <row r="12" spans="1:7" x14ac:dyDescent="0.45">
      <c r="A12" s="14" t="s">
        <v>20</v>
      </c>
      <c r="B12" s="15">
        <v>975802.5</v>
      </c>
      <c r="C12" s="15">
        <v>85862581.5</v>
      </c>
      <c r="D12" s="15">
        <v>673</v>
      </c>
      <c r="E12" s="15">
        <v>60936</v>
      </c>
      <c r="F12" s="15">
        <v>55499</v>
      </c>
      <c r="G12" s="15">
        <v>50737.599999999999</v>
      </c>
    </row>
    <row r="13" spans="1:7" x14ac:dyDescent="0.45">
      <c r="A13" s="14" t="s">
        <v>22</v>
      </c>
      <c r="B13" s="15">
        <v>7308021</v>
      </c>
      <c r="C13" s="15">
        <v>738124428</v>
      </c>
      <c r="D13" s="15">
        <v>1890</v>
      </c>
      <c r="E13" s="15">
        <v>450697</v>
      </c>
      <c r="F13" s="15">
        <v>420076</v>
      </c>
      <c r="G13" s="15">
        <v>135333.90000000002</v>
      </c>
    </row>
    <row r="14" spans="1:7" x14ac:dyDescent="0.45">
      <c r="A14" s="14" t="s">
        <v>21</v>
      </c>
      <c r="B14" s="15">
        <v>7622206.5</v>
      </c>
      <c r="C14" s="15">
        <v>774146953.5</v>
      </c>
      <c r="D14" s="15">
        <v>2080</v>
      </c>
      <c r="E14" s="15">
        <v>473773</v>
      </c>
      <c r="F14" s="15">
        <v>440443</v>
      </c>
      <c r="G14" s="15">
        <v>128283.10000000003</v>
      </c>
    </row>
    <row r="15" spans="1:7" x14ac:dyDescent="0.45">
      <c r="A15" s="14" t="s">
        <v>13</v>
      </c>
      <c r="B15" s="15">
        <v>1048057.5</v>
      </c>
      <c r="C15" s="15">
        <v>95592298.5</v>
      </c>
      <c r="D15" s="15">
        <v>673</v>
      </c>
      <c r="E15" s="15">
        <v>64599</v>
      </c>
      <c r="F15" s="15">
        <v>57229</v>
      </c>
      <c r="G15" s="15">
        <v>54399.19999999999</v>
      </c>
    </row>
    <row r="16" spans="1:7" x14ac:dyDescent="0.45">
      <c r="A16" s="14" t="s">
        <v>23</v>
      </c>
      <c r="B16" s="15">
        <v>494650.5</v>
      </c>
      <c r="C16" s="15">
        <v>41034630</v>
      </c>
      <c r="D16" s="15">
        <v>570</v>
      </c>
      <c r="E16" s="15">
        <v>28986</v>
      </c>
      <c r="F16" s="15">
        <v>25549</v>
      </c>
      <c r="G16" s="15">
        <v>30275.200000000001</v>
      </c>
    </row>
    <row r="17" spans="1:7" x14ac:dyDescent="0.45">
      <c r="A17" s="14" t="s">
        <v>18</v>
      </c>
      <c r="B17" s="15">
        <v>562567.5</v>
      </c>
      <c r="C17" s="15">
        <v>48803040</v>
      </c>
      <c r="D17" s="15">
        <v>552</v>
      </c>
      <c r="E17" s="15">
        <v>35057</v>
      </c>
      <c r="F17" s="15">
        <v>31015</v>
      </c>
      <c r="G17" s="15">
        <v>35511.300000000003</v>
      </c>
    </row>
    <row r="18" spans="1:7" x14ac:dyDescent="0.45">
      <c r="A18" s="14" t="s">
        <v>19</v>
      </c>
      <c r="B18" s="15">
        <v>387301.5</v>
      </c>
      <c r="C18" s="15">
        <v>34816548</v>
      </c>
      <c r="D18" s="15">
        <v>500</v>
      </c>
      <c r="E18" s="15">
        <v>22557</v>
      </c>
      <c r="F18" s="15">
        <v>19421</v>
      </c>
      <c r="G18" s="15">
        <v>25486.199999999993</v>
      </c>
    </row>
    <row r="19" spans="1:7" x14ac:dyDescent="0.45">
      <c r="A19" s="14" t="s">
        <v>9</v>
      </c>
      <c r="B19" s="15">
        <v>42676.5</v>
      </c>
      <c r="C19" s="15">
        <v>3342598.5</v>
      </c>
      <c r="D19" s="15">
        <v>75</v>
      </c>
      <c r="E19" s="15">
        <v>2248</v>
      </c>
      <c r="F19" s="15">
        <v>1866</v>
      </c>
      <c r="G19" s="15">
        <v>2845.1000000000004</v>
      </c>
    </row>
    <row r="20" spans="1:7" x14ac:dyDescent="0.45">
      <c r="A20" s="14" t="s">
        <v>15</v>
      </c>
      <c r="B20" s="15">
        <v>13177185</v>
      </c>
      <c r="C20" s="15">
        <v>1380723900.7513499</v>
      </c>
      <c r="D20" s="15">
        <v>4366</v>
      </c>
      <c r="E20" s="15">
        <v>734390</v>
      </c>
      <c r="F20" s="15">
        <v>680533</v>
      </c>
      <c r="G20" s="15">
        <v>105644.1</v>
      </c>
    </row>
    <row r="21" spans="1:7" x14ac:dyDescent="0.45">
      <c r="A21" s="14" t="s">
        <v>14</v>
      </c>
      <c r="B21" s="15">
        <v>10226754</v>
      </c>
      <c r="C21" s="15">
        <v>1035612381.8110501</v>
      </c>
      <c r="D21" s="15">
        <v>4512</v>
      </c>
      <c r="E21" s="15">
        <v>589270</v>
      </c>
      <c r="F21" s="15">
        <v>546955</v>
      </c>
      <c r="G21" s="15">
        <v>79329.000000000015</v>
      </c>
    </row>
    <row r="22" spans="1:7" x14ac:dyDescent="0.45">
      <c r="A22" s="14" t="s">
        <v>12</v>
      </c>
      <c r="B22" s="15">
        <v>412281</v>
      </c>
      <c r="C22" s="15">
        <v>33207564</v>
      </c>
      <c r="D22" s="15">
        <v>350</v>
      </c>
      <c r="E22" s="15">
        <v>22513</v>
      </c>
      <c r="F22" s="15">
        <v>19558</v>
      </c>
      <c r="G22" s="15">
        <v>41229.1</v>
      </c>
    </row>
    <row r="23" spans="1:7" x14ac:dyDescent="0.45">
      <c r="A23" s="14" t="s">
        <v>25</v>
      </c>
      <c r="B23" s="15">
        <v>11575.5</v>
      </c>
      <c r="C23" s="15">
        <v>882906</v>
      </c>
      <c r="D23" s="15">
        <v>18</v>
      </c>
      <c r="E23" s="15">
        <v>639</v>
      </c>
      <c r="F23" s="15">
        <v>479</v>
      </c>
      <c r="G23" s="15">
        <v>1286.2</v>
      </c>
    </row>
    <row r="24" spans="1:7" x14ac:dyDescent="0.45">
      <c r="A24" s="14" t="s">
        <v>24</v>
      </c>
      <c r="B24" s="15">
        <v>68265</v>
      </c>
      <c r="C24" s="15">
        <v>5664156</v>
      </c>
      <c r="D24" s="15">
        <v>49</v>
      </c>
      <c r="E24" s="15">
        <v>3459</v>
      </c>
      <c r="F24" s="15">
        <v>2790</v>
      </c>
      <c r="G24" s="15">
        <v>9752.1</v>
      </c>
    </row>
    <row r="25" spans="1:7" x14ac:dyDescent="0.45">
      <c r="A25" s="14" t="s">
        <v>26</v>
      </c>
      <c r="B25" s="15">
        <v>9535.5</v>
      </c>
      <c r="C25" s="15">
        <v>879727.5</v>
      </c>
      <c r="D25" s="15">
        <v>12</v>
      </c>
      <c r="E25" s="15">
        <v>498</v>
      </c>
      <c r="F25" s="15">
        <v>363</v>
      </c>
      <c r="G25" s="15">
        <v>1589.3</v>
      </c>
    </row>
    <row r="26" spans="1:7" x14ac:dyDescent="0.45">
      <c r="A26" s="14" t="s">
        <v>28</v>
      </c>
      <c r="B26" s="15">
        <v>50178780</v>
      </c>
      <c r="C26" s="15">
        <v>4962359217.0623999</v>
      </c>
      <c r="D26" s="15">
        <v>20111</v>
      </c>
      <c r="E26" s="15">
        <v>2988770</v>
      </c>
      <c r="F26" s="15">
        <v>2760956</v>
      </c>
      <c r="G26" s="15">
        <v>982106.49999999977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4072-D898-41BC-BED4-467772BAA42E}">
  <dimension ref="K2:M9"/>
  <sheetViews>
    <sheetView workbookViewId="0">
      <selection activeCell="L19" sqref="L19"/>
    </sheetView>
  </sheetViews>
  <sheetFormatPr defaultRowHeight="14.25" x14ac:dyDescent="0.45"/>
  <cols>
    <col min="1" max="1" width="12.06640625" style="26" bestFit="1" customWidth="1"/>
    <col min="2" max="2" width="22.265625" style="26" bestFit="1" customWidth="1"/>
    <col min="3" max="3" width="26.9296875" style="26" bestFit="1" customWidth="1"/>
    <col min="4" max="4" width="13.265625" style="26" bestFit="1" customWidth="1"/>
    <col min="5" max="10" width="9.06640625" style="26"/>
    <col min="11" max="11" width="12.06640625" style="26" bestFit="1" customWidth="1"/>
    <col min="12" max="12" width="22.265625" style="26" bestFit="1" customWidth="1"/>
    <col min="13" max="13" width="26.9296875" style="26" bestFit="1" customWidth="1"/>
    <col min="14" max="16384" width="9.06640625" style="26"/>
  </cols>
  <sheetData>
    <row r="2" spans="11:13" x14ac:dyDescent="0.45">
      <c r="K2" s="13" t="s">
        <v>27</v>
      </c>
      <c r="L2" s="13" t="s">
        <v>29</v>
      </c>
      <c r="M2" t="s">
        <v>34</v>
      </c>
    </row>
    <row r="3" spans="11:13" x14ac:dyDescent="0.45">
      <c r="K3" s="14">
        <v>18</v>
      </c>
      <c r="L3" s="15">
        <v>8240286</v>
      </c>
      <c r="M3" s="15">
        <v>156122.40000000002</v>
      </c>
    </row>
    <row r="4" spans="11:13" x14ac:dyDescent="0.45">
      <c r="K4" s="14">
        <v>19</v>
      </c>
      <c r="L4" s="15">
        <v>9783292.5</v>
      </c>
      <c r="M4" s="15">
        <v>186417.60000000006</v>
      </c>
    </row>
    <row r="5" spans="11:13" x14ac:dyDescent="0.45">
      <c r="K5" s="14">
        <v>20</v>
      </c>
      <c r="L5" s="15">
        <v>9594378</v>
      </c>
      <c r="M5" s="15">
        <v>186765.90000000005</v>
      </c>
    </row>
    <row r="6" spans="11:13" x14ac:dyDescent="0.45">
      <c r="K6" s="14">
        <v>21</v>
      </c>
      <c r="L6" s="15">
        <v>10475296.5</v>
      </c>
      <c r="M6" s="15">
        <v>205470.30000000005</v>
      </c>
    </row>
    <row r="7" spans="11:13" x14ac:dyDescent="0.45">
      <c r="K7" s="14">
        <v>22</v>
      </c>
      <c r="L7" s="15">
        <v>10730598</v>
      </c>
      <c r="M7" s="15">
        <v>218169.30000000002</v>
      </c>
    </row>
    <row r="8" spans="11:13" x14ac:dyDescent="0.45">
      <c r="K8" s="14">
        <v>23</v>
      </c>
      <c r="L8" s="15">
        <v>1354929</v>
      </c>
      <c r="M8" s="15">
        <v>29161</v>
      </c>
    </row>
    <row r="9" spans="11:13" x14ac:dyDescent="0.45">
      <c r="K9" s="14" t="s">
        <v>28</v>
      </c>
      <c r="L9" s="15">
        <v>50178780</v>
      </c>
      <c r="M9" s="15">
        <v>982106.50000000023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="89" workbookViewId="0">
      <selection activeCell="L13" sqref="L13"/>
    </sheetView>
  </sheetViews>
  <sheetFormatPr defaultColWidth="14.3984375" defaultRowHeight="15" customHeight="1" x14ac:dyDescent="0.45"/>
  <cols>
    <col min="1" max="1" width="10.3984375" customWidth="1"/>
    <col min="2" max="2" width="21.73046875" customWidth="1"/>
    <col min="3" max="3" width="22" customWidth="1"/>
    <col min="4" max="4" width="20.265625" customWidth="1"/>
    <col min="5" max="7" width="22" customWidth="1"/>
    <col min="8" max="8" width="23.3984375" customWidth="1"/>
    <col min="9" max="9" width="8.86328125" customWidth="1"/>
    <col min="10" max="24" width="8.73046875" customWidth="1"/>
  </cols>
  <sheetData>
    <row r="1" spans="1:24" ht="14.2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45">
      <c r="A2" s="8">
        <v>43982</v>
      </c>
      <c r="B2" s="3" t="s">
        <v>9</v>
      </c>
      <c r="C2" s="3">
        <v>7944</v>
      </c>
      <c r="D2" s="3">
        <v>623971.5</v>
      </c>
      <c r="E2" s="4" cm="1">
        <f t="array" ref="E2">_xlfn.XLOOKUP(A2&amp;B2,Лист2!A:A&amp;Лист2!B:B,Лист2!C:C,0,0)</f>
        <v>15</v>
      </c>
      <c r="F2" s="4" cm="1">
        <f t="array" ref="F2">_xlfn.XLOOKUP(A2&amp;B2,Лист2!A:A&amp;Лист2!B:B,Лист2!D:D,0,0)</f>
        <v>441</v>
      </c>
      <c r="G2" s="4" cm="1">
        <f t="array" ref="G2">_xlfn.XLOOKUP(A2&amp;B2,Лист2!A:A&amp;Лист2!B:B,Лист2!E:E,0,0)</f>
        <v>368</v>
      </c>
      <c r="H2" s="27">
        <f>ROUND(C2/E2, 1)</f>
        <v>529.6</v>
      </c>
      <c r="I2">
        <f>WEEKNUM(A2,2)</f>
        <v>22</v>
      </c>
    </row>
    <row r="3" spans="1:24" ht="14.25" customHeight="1" x14ac:dyDescent="0.45">
      <c r="A3" s="9">
        <v>43981</v>
      </c>
      <c r="B3" s="5" t="s">
        <v>9</v>
      </c>
      <c r="C3" s="5">
        <v>10029</v>
      </c>
      <c r="D3" s="5">
        <v>787101</v>
      </c>
      <c r="E3" s="4" cm="1">
        <f t="array" ref="E3">_xlfn.XLOOKUP(A3&amp;B3,Лист2!A:A&amp;Лист2!B:B,Лист2!C:C,0,0)</f>
        <v>15</v>
      </c>
      <c r="F3" s="4" cm="1">
        <f t="array" ref="F3">_xlfn.XLOOKUP(A3&amp;B3,Лист2!A:A&amp;Лист2!B:B,Лист2!D:D,0,0)</f>
        <v>490</v>
      </c>
      <c r="G3" s="4" cm="1">
        <f t="array" ref="G3">_xlfn.XLOOKUP(A3&amp;B3,Лист2!A:A&amp;Лист2!B:B,Лист2!E:E,0,0)</f>
        <v>409</v>
      </c>
      <c r="H3" s="27">
        <f t="shared" ref="H3:H66" si="0">ROUND(C3/E3, 1)</f>
        <v>668.6</v>
      </c>
      <c r="I3">
        <f t="shared" ref="I3:I66" si="1">WEEKNUM(A3,2)</f>
        <v>22</v>
      </c>
    </row>
    <row r="4" spans="1:24" ht="14.25" customHeight="1" x14ac:dyDescent="0.45">
      <c r="A4" s="8">
        <v>43979</v>
      </c>
      <c r="B4" s="3" t="s">
        <v>9</v>
      </c>
      <c r="C4" s="3">
        <v>8536.5</v>
      </c>
      <c r="D4" s="3">
        <v>643944</v>
      </c>
      <c r="E4" s="4" cm="1">
        <f t="array" ref="E4">_xlfn.XLOOKUP(A4&amp;B4,Лист2!A:A&amp;Лист2!B:B,Лист2!C:C,0,0)</f>
        <v>15</v>
      </c>
      <c r="F4" s="4" cm="1">
        <f t="array" ref="F4">_xlfn.XLOOKUP(A4&amp;B4,Лист2!A:A&amp;Лист2!B:B,Лист2!D:D,0,0)</f>
        <v>464</v>
      </c>
      <c r="G4" s="4" cm="1">
        <f t="array" ref="G4">_xlfn.XLOOKUP(A4&amp;B4,Лист2!A:A&amp;Лист2!B:B,Лист2!E:E,0,0)</f>
        <v>390</v>
      </c>
      <c r="H4" s="27">
        <f t="shared" si="0"/>
        <v>569.1</v>
      </c>
      <c r="I4">
        <f t="shared" si="1"/>
        <v>22</v>
      </c>
    </row>
    <row r="5" spans="1:24" ht="14.25" customHeight="1" x14ac:dyDescent="0.45">
      <c r="A5" s="9">
        <v>43967</v>
      </c>
      <c r="B5" s="5" t="s">
        <v>10</v>
      </c>
      <c r="C5" s="5">
        <v>38947.5</v>
      </c>
      <c r="D5" s="5">
        <v>3395892</v>
      </c>
      <c r="E5" s="4" cm="1">
        <f t="array" ref="E5">_xlfn.XLOOKUP(A5&amp;B5,Лист2!A:A&amp;Лист2!B:B,Лист2!C:C,0,0)</f>
        <v>21</v>
      </c>
      <c r="F5" s="4" cm="1">
        <f t="array" ref="F5">_xlfn.XLOOKUP(A5&amp;B5,Лист2!A:A&amp;Лист2!B:B,Лист2!D:D,0,0)</f>
        <v>2145</v>
      </c>
      <c r="G5" s="4" cm="1">
        <f t="array" ref="G5">_xlfn.XLOOKUP(A5&amp;B5,Лист2!A:A&amp;Лист2!B:B,Лист2!E:E,0,0)</f>
        <v>1947</v>
      </c>
      <c r="H5" s="27">
        <f t="shared" si="0"/>
        <v>1854.6</v>
      </c>
      <c r="I5">
        <f t="shared" si="1"/>
        <v>20</v>
      </c>
    </row>
    <row r="6" spans="1:24" ht="14.25" customHeight="1" x14ac:dyDescent="0.45">
      <c r="A6" s="8">
        <v>43970</v>
      </c>
      <c r="B6" s="3" t="s">
        <v>10</v>
      </c>
      <c r="C6" s="3">
        <v>31842</v>
      </c>
      <c r="D6" s="3">
        <v>2771116.5</v>
      </c>
      <c r="E6" s="4" cm="1">
        <f t="array" ref="E6">_xlfn.XLOOKUP(A6&amp;B6,Лист2!A:A&amp;Лист2!B:B,Лист2!C:C,0,0)</f>
        <v>21</v>
      </c>
      <c r="F6" s="4" cm="1">
        <f t="array" ref="F6">_xlfn.XLOOKUP(A6&amp;B6,Лист2!A:A&amp;Лист2!B:B,Лист2!D:D,0,0)</f>
        <v>1860</v>
      </c>
      <c r="G6" s="4" cm="1">
        <f t="array" ref="G6">_xlfn.XLOOKUP(A6&amp;B6,Лист2!A:A&amp;Лист2!B:B,Лист2!E:E,0,0)</f>
        <v>1704</v>
      </c>
      <c r="H6" s="27">
        <f t="shared" si="0"/>
        <v>1516.3</v>
      </c>
      <c r="I6">
        <f t="shared" si="1"/>
        <v>21</v>
      </c>
    </row>
    <row r="7" spans="1:24" ht="14.25" customHeight="1" x14ac:dyDescent="0.45">
      <c r="A7" s="9">
        <v>43968</v>
      </c>
      <c r="B7" s="5" t="s">
        <v>10</v>
      </c>
      <c r="C7" s="5">
        <v>32023.5</v>
      </c>
      <c r="D7" s="5">
        <v>2882458.5</v>
      </c>
      <c r="E7" s="4" cm="1">
        <f t="array" ref="E7">_xlfn.XLOOKUP(A7&amp;B7,Лист2!A:A&amp;Лист2!B:B,Лист2!C:C,0,0)</f>
        <v>21</v>
      </c>
      <c r="F7" s="4" cm="1">
        <f t="array" ref="F7">_xlfn.XLOOKUP(A7&amp;B7,Лист2!A:A&amp;Лист2!B:B,Лист2!D:D,0,0)</f>
        <v>1874</v>
      </c>
      <c r="G7" s="4" cm="1">
        <f t="array" ref="G7">_xlfn.XLOOKUP(A7&amp;B7,Лист2!A:A&amp;Лист2!B:B,Лист2!E:E,0,0)</f>
        <v>1705</v>
      </c>
      <c r="H7" s="27">
        <f t="shared" si="0"/>
        <v>1524.9</v>
      </c>
      <c r="I7">
        <f t="shared" si="1"/>
        <v>20</v>
      </c>
    </row>
    <row r="8" spans="1:24" ht="14.25" customHeight="1" x14ac:dyDescent="0.45">
      <c r="A8" s="8">
        <v>43960</v>
      </c>
      <c r="B8" s="3" t="s">
        <v>10</v>
      </c>
      <c r="C8" s="3">
        <v>31147.5</v>
      </c>
      <c r="D8" s="3">
        <v>2831019</v>
      </c>
      <c r="E8" s="4" cm="1">
        <f t="array" ref="E8">_xlfn.XLOOKUP(A8&amp;B8,Лист2!A:A&amp;Лист2!B:B,Лист2!C:C,0,0)</f>
        <v>21</v>
      </c>
      <c r="F8" s="4" cm="1">
        <f t="array" ref="F8">_xlfn.XLOOKUP(A8&amp;B8,Лист2!A:A&amp;Лист2!B:B,Лист2!D:D,0,0)</f>
        <v>1735</v>
      </c>
      <c r="G8" s="4" cm="1">
        <f t="array" ref="G8">_xlfn.XLOOKUP(A8&amp;B8,Лист2!A:A&amp;Лист2!B:B,Лист2!E:E,0,0)</f>
        <v>1568</v>
      </c>
      <c r="H8" s="27">
        <f t="shared" si="0"/>
        <v>1483.2</v>
      </c>
      <c r="I8">
        <f t="shared" si="1"/>
        <v>19</v>
      </c>
    </row>
    <row r="9" spans="1:24" ht="14.25" customHeight="1" x14ac:dyDescent="0.45">
      <c r="A9" s="9">
        <v>43955</v>
      </c>
      <c r="B9" s="5" t="s">
        <v>10</v>
      </c>
      <c r="C9" s="5">
        <v>25566</v>
      </c>
      <c r="D9" s="5">
        <v>2372310</v>
      </c>
      <c r="E9" s="4" cm="1">
        <f t="array" ref="E9">_xlfn.XLOOKUP(A9&amp;B9,Лист2!A:A&amp;Лист2!B:B,Лист2!C:C,0,0)</f>
        <v>20</v>
      </c>
      <c r="F9" s="4" cm="1">
        <f t="array" ref="F9">_xlfn.XLOOKUP(A9&amp;B9,Лист2!A:A&amp;Лист2!B:B,Лист2!D:D,0,0)</f>
        <v>1519</v>
      </c>
      <c r="G9" s="4" cm="1">
        <f t="array" ref="G9">_xlfn.XLOOKUP(A9&amp;B9,Лист2!A:A&amp;Лист2!B:B,Лист2!E:E,0,0)</f>
        <v>1372</v>
      </c>
      <c r="H9" s="27">
        <f t="shared" si="0"/>
        <v>1278.3</v>
      </c>
      <c r="I9">
        <f t="shared" si="1"/>
        <v>19</v>
      </c>
    </row>
    <row r="10" spans="1:24" ht="14.25" customHeight="1" x14ac:dyDescent="0.45">
      <c r="A10" s="8">
        <v>43950</v>
      </c>
      <c r="B10" s="3" t="s">
        <v>10</v>
      </c>
      <c r="C10" s="3">
        <v>29319</v>
      </c>
      <c r="D10" s="3">
        <v>2623480.5</v>
      </c>
      <c r="E10" s="4" cm="1">
        <f t="array" ref="E10">_xlfn.XLOOKUP(A10&amp;B10,Лист2!A:A&amp;Лист2!B:B,Лист2!C:C,0,0)</f>
        <v>18</v>
      </c>
      <c r="F10" s="4" cm="1">
        <f t="array" ref="F10">_xlfn.XLOOKUP(A10&amp;B10,Лист2!A:A&amp;Лист2!B:B,Лист2!D:D,0,0)</f>
        <v>1684</v>
      </c>
      <c r="G10" s="4" cm="1">
        <f t="array" ref="G10">_xlfn.XLOOKUP(A10&amp;B10,Лист2!A:A&amp;Лист2!B:B,Лист2!E:E,0,0)</f>
        <v>1528</v>
      </c>
      <c r="H10" s="27">
        <f t="shared" si="0"/>
        <v>1628.8</v>
      </c>
      <c r="I10">
        <f t="shared" si="1"/>
        <v>18</v>
      </c>
    </row>
    <row r="11" spans="1:24" ht="14.25" customHeight="1" x14ac:dyDescent="0.45">
      <c r="A11" s="9">
        <v>43953</v>
      </c>
      <c r="B11" s="5" t="s">
        <v>10</v>
      </c>
      <c r="C11" s="5">
        <v>29031</v>
      </c>
      <c r="D11" s="5">
        <v>2711247</v>
      </c>
      <c r="E11" s="4" cm="1">
        <f t="array" ref="E11">_xlfn.XLOOKUP(A11&amp;B11,Лист2!A:A&amp;Лист2!B:B,Лист2!C:C,0,0)</f>
        <v>18</v>
      </c>
      <c r="F11" s="4" cm="1">
        <f t="array" ref="F11">_xlfn.XLOOKUP(A11&amp;B11,Лист2!A:A&amp;Лист2!B:B,Лист2!D:D,0,0)</f>
        <v>1708</v>
      </c>
      <c r="G11" s="4" cm="1">
        <f t="array" ref="G11">_xlfn.XLOOKUP(A11&amp;B11,Лист2!A:A&amp;Лист2!B:B,Лист2!E:E,0,0)</f>
        <v>1534</v>
      </c>
      <c r="H11" s="27">
        <f t="shared" si="0"/>
        <v>1612.8</v>
      </c>
      <c r="I11">
        <f t="shared" si="1"/>
        <v>18</v>
      </c>
    </row>
    <row r="12" spans="1:24" ht="14.25" customHeight="1" x14ac:dyDescent="0.45">
      <c r="A12" s="8">
        <v>43977</v>
      </c>
      <c r="B12" s="3" t="s">
        <v>10</v>
      </c>
      <c r="C12" s="3">
        <v>33423</v>
      </c>
      <c r="D12" s="3">
        <v>2970330</v>
      </c>
      <c r="E12" s="4" cm="1">
        <f t="array" ref="E12">_xlfn.XLOOKUP(A12&amp;B12,Лист2!A:A&amp;Лист2!B:B,Лист2!C:C,0,0)</f>
        <v>20</v>
      </c>
      <c r="F12" s="4" cm="1">
        <f t="array" ref="F12">_xlfn.XLOOKUP(A12&amp;B12,Лист2!A:A&amp;Лист2!B:B,Лист2!D:D,0,0)</f>
        <v>2044</v>
      </c>
      <c r="G12" s="4" cm="1">
        <f t="array" ref="G12">_xlfn.XLOOKUP(A12&amp;B12,Лист2!A:A&amp;Лист2!B:B,Лист2!E:E,0,0)</f>
        <v>1863</v>
      </c>
      <c r="H12" s="27">
        <f t="shared" si="0"/>
        <v>1671.2</v>
      </c>
      <c r="I12">
        <f t="shared" si="1"/>
        <v>22</v>
      </c>
    </row>
    <row r="13" spans="1:24" ht="14.25" customHeight="1" x14ac:dyDescent="0.45">
      <c r="A13" s="9">
        <v>43952</v>
      </c>
      <c r="B13" s="5" t="s">
        <v>10</v>
      </c>
      <c r="C13" s="5">
        <v>32487</v>
      </c>
      <c r="D13" s="5">
        <v>3031254</v>
      </c>
      <c r="E13" s="4" cm="1">
        <f t="array" ref="E13">_xlfn.XLOOKUP(A13&amp;B13,Лист2!A:A&amp;Лист2!B:B,Лист2!C:C,0,0)</f>
        <v>18</v>
      </c>
      <c r="F13" s="4" cm="1">
        <f t="array" ref="F13">_xlfn.XLOOKUP(A13&amp;B13,Лист2!A:A&amp;Лист2!B:B,Лист2!D:D,0,0)</f>
        <v>1826</v>
      </c>
      <c r="G13" s="4" cm="1">
        <f t="array" ref="G13">_xlfn.XLOOKUP(A13&amp;B13,Лист2!A:A&amp;Лист2!B:B,Лист2!E:E,0,0)</f>
        <v>1633</v>
      </c>
      <c r="H13" s="27">
        <f t="shared" si="0"/>
        <v>1804.8</v>
      </c>
      <c r="I13">
        <f t="shared" si="1"/>
        <v>18</v>
      </c>
    </row>
    <row r="14" spans="1:24" ht="14.25" customHeight="1" x14ac:dyDescent="0.45">
      <c r="A14" s="8">
        <v>43963</v>
      </c>
      <c r="B14" s="3" t="s">
        <v>10</v>
      </c>
      <c r="C14" s="3">
        <v>28219.5</v>
      </c>
      <c r="D14" s="3">
        <v>2595778.5</v>
      </c>
      <c r="E14" s="4" cm="1">
        <f t="array" ref="E14">_xlfn.XLOOKUP(A14&amp;B14,Лист2!A:A&amp;Лист2!B:B,Лист2!C:C,0,0)</f>
        <v>21</v>
      </c>
      <c r="F14" s="4" cm="1">
        <f t="array" ref="F14">_xlfn.XLOOKUP(A14&amp;B14,Лист2!A:A&amp;Лист2!B:B,Лист2!D:D,0,0)</f>
        <v>1656</v>
      </c>
      <c r="G14" s="4" cm="1">
        <f t="array" ref="G14">_xlfn.XLOOKUP(A14&amp;B14,Лист2!A:A&amp;Лист2!B:B,Лист2!E:E,0,0)</f>
        <v>1516</v>
      </c>
      <c r="H14" s="27">
        <f t="shared" si="0"/>
        <v>1343.8</v>
      </c>
      <c r="I14">
        <f t="shared" si="1"/>
        <v>20</v>
      </c>
    </row>
    <row r="15" spans="1:24" ht="14.25" customHeight="1" x14ac:dyDescent="0.45">
      <c r="A15" s="9">
        <v>43972</v>
      </c>
      <c r="B15" s="5" t="s">
        <v>10</v>
      </c>
      <c r="C15" s="5">
        <v>31272</v>
      </c>
      <c r="D15" s="5">
        <v>2744382</v>
      </c>
      <c r="E15" s="4" cm="1">
        <f t="array" ref="E15">_xlfn.XLOOKUP(A15&amp;B15,Лист2!A:A&amp;Лист2!B:B,Лист2!C:C,0,0)</f>
        <v>21</v>
      </c>
      <c r="F15" s="4" cm="1">
        <f t="array" ref="F15">_xlfn.XLOOKUP(A15&amp;B15,Лист2!A:A&amp;Лист2!B:B,Лист2!D:D,0,0)</f>
        <v>1787</v>
      </c>
      <c r="G15" s="4" cm="1">
        <f t="array" ref="G15">_xlfn.XLOOKUP(A15&amp;B15,Лист2!A:A&amp;Лист2!B:B,Лист2!E:E,0,0)</f>
        <v>1626</v>
      </c>
      <c r="H15" s="27">
        <f t="shared" si="0"/>
        <v>1489.1</v>
      </c>
      <c r="I15">
        <f t="shared" si="1"/>
        <v>21</v>
      </c>
    </row>
    <row r="16" spans="1:24" ht="14.25" customHeight="1" x14ac:dyDescent="0.45">
      <c r="A16" s="8">
        <v>43971</v>
      </c>
      <c r="B16" s="3" t="s">
        <v>10</v>
      </c>
      <c r="C16" s="3">
        <v>34077</v>
      </c>
      <c r="D16" s="3">
        <v>2929330.5</v>
      </c>
      <c r="E16" s="4" cm="1">
        <f t="array" ref="E16">_xlfn.XLOOKUP(A16&amp;B16,Лист2!A:A&amp;Лист2!B:B,Лист2!C:C,0,0)</f>
        <v>21</v>
      </c>
      <c r="F16" s="4" cm="1">
        <f t="array" ref="F16">_xlfn.XLOOKUP(A16&amp;B16,Лист2!A:A&amp;Лист2!B:B,Лист2!D:D,0,0)</f>
        <v>1921</v>
      </c>
      <c r="G16" s="4" cm="1">
        <f t="array" ref="G16">_xlfn.XLOOKUP(A16&amp;B16,Лист2!A:A&amp;Лист2!B:B,Лист2!E:E,0,0)</f>
        <v>1767</v>
      </c>
      <c r="H16" s="27">
        <f t="shared" si="0"/>
        <v>1622.7</v>
      </c>
      <c r="I16">
        <f t="shared" si="1"/>
        <v>21</v>
      </c>
    </row>
    <row r="17" spans="1:9" ht="14.25" customHeight="1" x14ac:dyDescent="0.45">
      <c r="A17" s="9">
        <v>43956</v>
      </c>
      <c r="B17" s="5" t="s">
        <v>10</v>
      </c>
      <c r="C17" s="5">
        <v>31566</v>
      </c>
      <c r="D17" s="5">
        <v>2906763</v>
      </c>
      <c r="E17" s="4" cm="1">
        <f t="array" ref="E17">_xlfn.XLOOKUP(A17&amp;B17,Лист2!A:A&amp;Лист2!B:B,Лист2!C:C,0,0)</f>
        <v>20</v>
      </c>
      <c r="F17" s="4" cm="1">
        <f t="array" ref="F17">_xlfn.XLOOKUP(A17&amp;B17,Лист2!A:A&amp;Лист2!B:B,Лист2!D:D,0,0)</f>
        <v>1773</v>
      </c>
      <c r="G17" s="4" cm="1">
        <f t="array" ref="G17">_xlfn.XLOOKUP(A17&amp;B17,Лист2!A:A&amp;Лист2!B:B,Лист2!E:E,0,0)</f>
        <v>1604</v>
      </c>
      <c r="H17" s="27">
        <f t="shared" si="0"/>
        <v>1578.3</v>
      </c>
      <c r="I17">
        <f t="shared" si="1"/>
        <v>19</v>
      </c>
    </row>
    <row r="18" spans="1:9" ht="14.25" customHeight="1" x14ac:dyDescent="0.45">
      <c r="A18" s="8">
        <v>43949</v>
      </c>
      <c r="B18" s="3" t="s">
        <v>10</v>
      </c>
      <c r="C18" s="3">
        <v>26940</v>
      </c>
      <c r="D18" s="3">
        <v>2411587.5</v>
      </c>
      <c r="E18" s="4" cm="1">
        <f t="array" ref="E18">_xlfn.XLOOKUP(A18&amp;B18,Лист2!A:A&amp;Лист2!B:B,Лист2!C:C,0,0)</f>
        <v>18</v>
      </c>
      <c r="F18" s="4" cm="1">
        <f t="array" ref="F18">_xlfn.XLOOKUP(A18&amp;B18,Лист2!A:A&amp;Лист2!B:B,Лист2!D:D,0,0)</f>
        <v>1539</v>
      </c>
      <c r="G18" s="4" cm="1">
        <f t="array" ref="G18">_xlfn.XLOOKUP(A18&amp;B18,Лист2!A:A&amp;Лист2!B:B,Лист2!E:E,0,0)</f>
        <v>1404</v>
      </c>
      <c r="H18" s="27">
        <f t="shared" si="0"/>
        <v>1496.7</v>
      </c>
      <c r="I18">
        <f t="shared" si="1"/>
        <v>18</v>
      </c>
    </row>
    <row r="19" spans="1:9" ht="14.25" customHeight="1" x14ac:dyDescent="0.45">
      <c r="A19" s="9">
        <v>43964</v>
      </c>
      <c r="B19" s="5" t="s">
        <v>10</v>
      </c>
      <c r="C19" s="5">
        <v>29241</v>
      </c>
      <c r="D19" s="5">
        <v>2629782</v>
      </c>
      <c r="E19" s="4" cm="1">
        <f t="array" ref="E19">_xlfn.XLOOKUP(A19&amp;B19,Лист2!A:A&amp;Лист2!B:B,Лист2!C:C,0,0)</f>
        <v>21</v>
      </c>
      <c r="F19" s="4" cm="1">
        <f t="array" ref="F19">_xlfn.XLOOKUP(A19&amp;B19,Лист2!A:A&amp;Лист2!B:B,Лист2!D:D,0,0)</f>
        <v>1698</v>
      </c>
      <c r="G19" s="4" cm="1">
        <f t="array" ref="G19">_xlfn.XLOOKUP(A19&amp;B19,Лист2!A:A&amp;Лист2!B:B,Лист2!E:E,0,0)</f>
        <v>1554</v>
      </c>
      <c r="H19" s="27">
        <f t="shared" si="0"/>
        <v>1392.4</v>
      </c>
      <c r="I19">
        <f t="shared" si="1"/>
        <v>20</v>
      </c>
    </row>
    <row r="20" spans="1:9" ht="14.25" customHeight="1" x14ac:dyDescent="0.45">
      <c r="A20" s="8">
        <v>43954</v>
      </c>
      <c r="B20" s="3" t="s">
        <v>10</v>
      </c>
      <c r="C20" s="3">
        <v>26082</v>
      </c>
      <c r="D20" s="3">
        <v>2434914</v>
      </c>
      <c r="E20" s="4" cm="1">
        <f t="array" ref="E20">_xlfn.XLOOKUP(A20&amp;B20,Лист2!A:A&amp;Лист2!B:B,Лист2!C:C,0,0)</f>
        <v>20</v>
      </c>
      <c r="F20" s="4" cm="1">
        <f t="array" ref="F20">_xlfn.XLOOKUP(A20&amp;B20,Лист2!A:A&amp;Лист2!B:B,Лист2!D:D,0,0)</f>
        <v>1520</v>
      </c>
      <c r="G20" s="4" cm="1">
        <f t="array" ref="G20">_xlfn.XLOOKUP(A20&amp;B20,Лист2!A:A&amp;Лист2!B:B,Лист2!E:E,0,0)</f>
        <v>1373</v>
      </c>
      <c r="H20" s="27">
        <f t="shared" si="0"/>
        <v>1304.0999999999999</v>
      </c>
      <c r="I20">
        <f t="shared" si="1"/>
        <v>18</v>
      </c>
    </row>
    <row r="21" spans="1:9" ht="14.25" customHeight="1" x14ac:dyDescent="0.45">
      <c r="A21" s="9">
        <v>43957</v>
      </c>
      <c r="B21" s="5" t="s">
        <v>10</v>
      </c>
      <c r="C21" s="5">
        <v>32511</v>
      </c>
      <c r="D21" s="5">
        <v>2938623</v>
      </c>
      <c r="E21" s="4" cm="1">
        <f t="array" ref="E21">_xlfn.XLOOKUP(A21&amp;B21,Лист2!A:A&amp;Лист2!B:B,Лист2!C:C,0,0)</f>
        <v>20</v>
      </c>
      <c r="F21" s="4" cm="1">
        <f t="array" ref="F21">_xlfn.XLOOKUP(A21&amp;B21,Лист2!A:A&amp;Лист2!B:B,Лист2!D:D,0,0)</f>
        <v>1784</v>
      </c>
      <c r="G21" s="4" cm="1">
        <f t="array" ref="G21">_xlfn.XLOOKUP(A21&amp;B21,Лист2!A:A&amp;Лист2!B:B,Лист2!E:E,0,0)</f>
        <v>1632</v>
      </c>
      <c r="H21" s="27">
        <f t="shared" si="0"/>
        <v>1625.6</v>
      </c>
      <c r="I21">
        <f t="shared" si="1"/>
        <v>19</v>
      </c>
    </row>
    <row r="22" spans="1:9" ht="14.25" customHeight="1" x14ac:dyDescent="0.45">
      <c r="A22" s="8">
        <v>43974</v>
      </c>
      <c r="B22" s="3" t="s">
        <v>10</v>
      </c>
      <c r="C22" s="3">
        <v>42703.5</v>
      </c>
      <c r="D22" s="3">
        <v>3628726.5</v>
      </c>
      <c r="E22" s="4" cm="1">
        <f t="array" ref="E22">_xlfn.XLOOKUP(A22&amp;B22,Лист2!A:A&amp;Лист2!B:B,Лист2!C:C,0,0)</f>
        <v>21</v>
      </c>
      <c r="F22" s="4" cm="1">
        <f t="array" ref="F22">_xlfn.XLOOKUP(A22&amp;B22,Лист2!A:A&amp;Лист2!B:B,Лист2!D:D,0,0)</f>
        <v>2340</v>
      </c>
      <c r="G22" s="4" cm="1">
        <f t="array" ref="G22">_xlfn.XLOOKUP(A22&amp;B22,Лист2!A:A&amp;Лист2!B:B,Лист2!E:E,0,0)</f>
        <v>2146</v>
      </c>
      <c r="H22" s="27">
        <f t="shared" si="0"/>
        <v>2033.5</v>
      </c>
      <c r="I22">
        <f t="shared" si="1"/>
        <v>21</v>
      </c>
    </row>
    <row r="23" spans="1:9" ht="14.25" customHeight="1" x14ac:dyDescent="0.45">
      <c r="A23" s="9">
        <v>43976</v>
      </c>
      <c r="B23" s="5" t="s">
        <v>10</v>
      </c>
      <c r="C23" s="5">
        <v>35592</v>
      </c>
      <c r="D23" s="5">
        <v>3176580</v>
      </c>
      <c r="E23" s="4" cm="1">
        <f t="array" ref="E23">_xlfn.XLOOKUP(A23&amp;B23,Лист2!A:A&amp;Лист2!B:B,Лист2!C:C,0,0)</f>
        <v>20</v>
      </c>
      <c r="F23" s="4" cm="1">
        <f t="array" ref="F23">_xlfn.XLOOKUP(A23&amp;B23,Лист2!A:A&amp;Лист2!B:B,Лист2!D:D,0,0)</f>
        <v>2087</v>
      </c>
      <c r="G23" s="4" cm="1">
        <f t="array" ref="G23">_xlfn.XLOOKUP(A23&amp;B23,Лист2!A:A&amp;Лист2!B:B,Лист2!E:E,0,0)</f>
        <v>1914</v>
      </c>
      <c r="H23" s="27">
        <f t="shared" si="0"/>
        <v>1779.6</v>
      </c>
      <c r="I23">
        <f t="shared" si="1"/>
        <v>22</v>
      </c>
    </row>
    <row r="24" spans="1:9" ht="14.25" customHeight="1" x14ac:dyDescent="0.45">
      <c r="A24" s="8">
        <v>43951</v>
      </c>
      <c r="B24" s="3" t="s">
        <v>10</v>
      </c>
      <c r="C24" s="3">
        <v>30445.5</v>
      </c>
      <c r="D24" s="3">
        <v>2817196.5</v>
      </c>
      <c r="E24" s="4" cm="1">
        <f t="array" ref="E24">_xlfn.XLOOKUP(A24&amp;B24,Лист2!A:A&amp;Лист2!B:B,Лист2!C:C,0,0)</f>
        <v>19</v>
      </c>
      <c r="F24" s="4" cm="1">
        <f t="array" ref="F24">_xlfn.XLOOKUP(A24&amp;B24,Лист2!A:A&amp;Лист2!B:B,Лист2!D:D,0,0)</f>
        <v>1712</v>
      </c>
      <c r="G24" s="4" cm="1">
        <f t="array" ref="G24">_xlfn.XLOOKUP(A24&amp;B24,Лист2!A:A&amp;Лист2!B:B,Лист2!E:E,0,0)</f>
        <v>1552</v>
      </c>
      <c r="H24" s="27">
        <f t="shared" si="0"/>
        <v>1602.4</v>
      </c>
      <c r="I24">
        <f t="shared" si="1"/>
        <v>18</v>
      </c>
    </row>
    <row r="25" spans="1:9" ht="14.25" customHeight="1" x14ac:dyDescent="0.45">
      <c r="A25" s="9">
        <v>43961</v>
      </c>
      <c r="B25" s="5" t="s">
        <v>10</v>
      </c>
      <c r="C25" s="5">
        <v>36619.5</v>
      </c>
      <c r="D25" s="5">
        <v>3312967.5</v>
      </c>
      <c r="E25" s="4" cm="1">
        <f t="array" ref="E25">_xlfn.XLOOKUP(A25&amp;B25,Лист2!A:A&amp;Лист2!B:B,Лист2!C:C,0,0)</f>
        <v>21</v>
      </c>
      <c r="F25" s="4" cm="1">
        <f t="array" ref="F25">_xlfn.XLOOKUP(A25&amp;B25,Лист2!A:A&amp;Лист2!B:B,Лист2!D:D,0,0)</f>
        <v>2016</v>
      </c>
      <c r="G25" s="4" cm="1">
        <f t="array" ref="G25">_xlfn.XLOOKUP(A25&amp;B25,Лист2!A:A&amp;Лист2!B:B,Лист2!E:E,0,0)</f>
        <v>1846</v>
      </c>
      <c r="H25" s="27">
        <f t="shared" si="0"/>
        <v>1743.8</v>
      </c>
      <c r="I25">
        <f t="shared" si="1"/>
        <v>19</v>
      </c>
    </row>
    <row r="26" spans="1:9" ht="14.25" customHeight="1" x14ac:dyDescent="0.45">
      <c r="A26" s="8">
        <v>43959</v>
      </c>
      <c r="B26" s="3" t="s">
        <v>10</v>
      </c>
      <c r="C26" s="3">
        <v>29409</v>
      </c>
      <c r="D26" s="3">
        <v>2645160</v>
      </c>
      <c r="E26" s="4" cm="1">
        <f t="array" ref="E26">_xlfn.XLOOKUP(A26&amp;B26,Лист2!A:A&amp;Лист2!B:B,Лист2!C:C,0,0)</f>
        <v>21</v>
      </c>
      <c r="F26" s="4" cm="1">
        <f t="array" ref="F26">_xlfn.XLOOKUP(A26&amp;B26,Лист2!A:A&amp;Лист2!B:B,Лист2!D:D,0,0)</f>
        <v>1646</v>
      </c>
      <c r="G26" s="4" cm="1">
        <f t="array" ref="G26">_xlfn.XLOOKUP(A26&amp;B26,Лист2!A:A&amp;Лист2!B:B,Лист2!E:E,0,0)</f>
        <v>1492</v>
      </c>
      <c r="H26" s="27">
        <f t="shared" si="0"/>
        <v>1400.4</v>
      </c>
      <c r="I26">
        <f t="shared" si="1"/>
        <v>19</v>
      </c>
    </row>
    <row r="27" spans="1:9" ht="14.25" customHeight="1" x14ac:dyDescent="0.45">
      <c r="A27" s="9">
        <v>43958</v>
      </c>
      <c r="B27" s="5" t="s">
        <v>10</v>
      </c>
      <c r="C27" s="5">
        <v>27018</v>
      </c>
      <c r="D27" s="5">
        <v>2472213</v>
      </c>
      <c r="E27" s="4" cm="1">
        <f t="array" ref="E27">_xlfn.XLOOKUP(A27&amp;B27,Лист2!A:A&amp;Лист2!B:B,Лист2!C:C,0,0)</f>
        <v>21</v>
      </c>
      <c r="F27" s="4" cm="1">
        <f t="array" ref="F27">_xlfn.XLOOKUP(A27&amp;B27,Лист2!A:A&amp;Лист2!B:B,Лист2!D:D,0,0)</f>
        <v>1542</v>
      </c>
      <c r="G27" s="4" cm="1">
        <f t="array" ref="G27">_xlfn.XLOOKUP(A27&amp;B27,Лист2!A:A&amp;Лист2!B:B,Лист2!E:E,0,0)</f>
        <v>1405</v>
      </c>
      <c r="H27" s="27">
        <f t="shared" si="0"/>
        <v>1286.5999999999999</v>
      </c>
      <c r="I27">
        <f t="shared" si="1"/>
        <v>19</v>
      </c>
    </row>
    <row r="28" spans="1:9" ht="14.25" customHeight="1" x14ac:dyDescent="0.45">
      <c r="A28" s="8">
        <v>43975</v>
      </c>
      <c r="B28" s="3" t="s">
        <v>10</v>
      </c>
      <c r="C28" s="3">
        <v>34303.5</v>
      </c>
      <c r="D28" s="3">
        <v>2924746.5</v>
      </c>
      <c r="E28" s="4" cm="1">
        <f t="array" ref="E28">_xlfn.XLOOKUP(A28&amp;B28,Лист2!A:A&amp;Лист2!B:B,Лист2!C:C,0,0)</f>
        <v>20</v>
      </c>
      <c r="F28" s="4" cm="1">
        <f t="array" ref="F28">_xlfn.XLOOKUP(A28&amp;B28,Лист2!A:A&amp;Лист2!B:B,Лист2!D:D,0,0)</f>
        <v>1999</v>
      </c>
      <c r="G28" s="4" cm="1">
        <f t="array" ref="G28">_xlfn.XLOOKUP(A28&amp;B28,Лист2!A:A&amp;Лист2!B:B,Лист2!E:E,0,0)</f>
        <v>1829</v>
      </c>
      <c r="H28" s="27">
        <f t="shared" si="0"/>
        <v>1715.2</v>
      </c>
      <c r="I28">
        <f t="shared" si="1"/>
        <v>21</v>
      </c>
    </row>
    <row r="29" spans="1:9" ht="14.25" customHeight="1" x14ac:dyDescent="0.45">
      <c r="A29" s="9">
        <v>43982</v>
      </c>
      <c r="B29" s="5" t="s">
        <v>10</v>
      </c>
      <c r="C29" s="5">
        <v>36999</v>
      </c>
      <c r="D29" s="5">
        <v>3473895</v>
      </c>
      <c r="E29" s="4" cm="1">
        <f t="array" ref="E29">_xlfn.XLOOKUP(A29&amp;B29,Лист2!A:A&amp;Лист2!B:B,Лист2!C:C,0,0)</f>
        <v>21</v>
      </c>
      <c r="F29" s="4" cm="1">
        <f t="array" ref="F29">_xlfn.XLOOKUP(A29&amp;B29,Лист2!A:A&amp;Лист2!B:B,Лист2!D:D,0,0)</f>
        <v>2271</v>
      </c>
      <c r="G29" s="4" cm="1">
        <f t="array" ref="G29">_xlfn.XLOOKUP(A29&amp;B29,Лист2!A:A&amp;Лист2!B:B,Лист2!E:E,0,0)</f>
        <v>2085</v>
      </c>
      <c r="H29" s="27">
        <f t="shared" si="0"/>
        <v>1761.9</v>
      </c>
      <c r="I29">
        <f t="shared" si="1"/>
        <v>22</v>
      </c>
    </row>
    <row r="30" spans="1:9" ht="14.25" customHeight="1" x14ac:dyDescent="0.45">
      <c r="A30" s="8">
        <v>43981</v>
      </c>
      <c r="B30" s="3" t="s">
        <v>10</v>
      </c>
      <c r="C30" s="3">
        <v>44001</v>
      </c>
      <c r="D30" s="3">
        <v>3921784.5</v>
      </c>
      <c r="E30" s="4" cm="1">
        <f t="array" ref="E30">_xlfn.XLOOKUP(A30&amp;B30,Лист2!A:A&amp;Лист2!B:B,Лист2!C:C,0,0)</f>
        <v>20</v>
      </c>
      <c r="F30" s="4" cm="1">
        <f t="array" ref="F30">_xlfn.XLOOKUP(A30&amp;B30,Лист2!A:A&amp;Лист2!B:B,Лист2!D:D,0,0)</f>
        <v>2597</v>
      </c>
      <c r="G30" s="4" cm="1">
        <f t="array" ref="G30">_xlfn.XLOOKUP(A30&amp;B30,Лист2!A:A&amp;Лист2!B:B,Лист2!E:E,0,0)</f>
        <v>2376</v>
      </c>
      <c r="H30" s="27">
        <f t="shared" si="0"/>
        <v>2200.1</v>
      </c>
      <c r="I30">
        <f t="shared" si="1"/>
        <v>22</v>
      </c>
    </row>
    <row r="31" spans="1:9" ht="14.25" customHeight="1" x14ac:dyDescent="0.45">
      <c r="A31" s="9">
        <v>43979</v>
      </c>
      <c r="B31" s="5" t="s">
        <v>10</v>
      </c>
      <c r="C31" s="5">
        <v>30982.5</v>
      </c>
      <c r="D31" s="5">
        <v>2827773</v>
      </c>
      <c r="E31" s="4" cm="1">
        <f t="array" ref="E31">_xlfn.XLOOKUP(A31&amp;B31,Лист2!A:A&amp;Лист2!B:B,Лист2!C:C,0,0)</f>
        <v>20</v>
      </c>
      <c r="F31" s="4" cm="1">
        <f t="array" ref="F31">_xlfn.XLOOKUP(A31&amp;B31,Лист2!A:A&amp;Лист2!B:B,Лист2!D:D,0,0)</f>
        <v>1886</v>
      </c>
      <c r="G31" s="4" cm="1">
        <f t="array" ref="G31">_xlfn.XLOOKUP(A31&amp;B31,Лист2!A:A&amp;Лист2!B:B,Лист2!E:E,0,0)</f>
        <v>1736</v>
      </c>
      <c r="H31" s="27">
        <f t="shared" si="0"/>
        <v>1549.1</v>
      </c>
      <c r="I31">
        <f t="shared" si="1"/>
        <v>22</v>
      </c>
    </row>
    <row r="32" spans="1:9" ht="14.25" customHeight="1" x14ac:dyDescent="0.45">
      <c r="A32" s="8">
        <v>43967</v>
      </c>
      <c r="B32" s="3" t="s">
        <v>11</v>
      </c>
      <c r="C32" s="3">
        <v>88063.5</v>
      </c>
      <c r="D32" s="3">
        <v>7583758.5</v>
      </c>
      <c r="E32" s="4" cm="1">
        <f t="array" ref="E32">_xlfn.XLOOKUP(A32&amp;B32,Лист2!A:A&amp;Лист2!B:B,Лист2!C:C,0,0)</f>
        <v>31</v>
      </c>
      <c r="F32" s="4" cm="1">
        <f t="array" ref="F32">_xlfn.XLOOKUP(A32&amp;B32,Лист2!A:A&amp;Лист2!B:B,Лист2!D:D,0,0)</f>
        <v>5593</v>
      </c>
      <c r="G32" s="4" cm="1">
        <f t="array" ref="G32">_xlfn.XLOOKUP(A32&amp;B32,Лист2!A:A&amp;Лист2!B:B,Лист2!E:E,0,0)</f>
        <v>5177</v>
      </c>
      <c r="H32" s="27">
        <f t="shared" si="0"/>
        <v>2840.8</v>
      </c>
      <c r="I32">
        <f t="shared" si="1"/>
        <v>20</v>
      </c>
    </row>
    <row r="33" spans="1:9" ht="14.25" customHeight="1" x14ac:dyDescent="0.45">
      <c r="A33" s="9">
        <v>43970</v>
      </c>
      <c r="B33" s="5" t="s">
        <v>11</v>
      </c>
      <c r="C33" s="5">
        <v>84024</v>
      </c>
      <c r="D33" s="5">
        <v>6815511</v>
      </c>
      <c r="E33" s="4" cm="1">
        <f t="array" ref="E33">_xlfn.XLOOKUP(A33&amp;B33,Лист2!A:A&amp;Лист2!B:B,Лист2!C:C,0,0)</f>
        <v>31</v>
      </c>
      <c r="F33" s="4" cm="1">
        <f t="array" ref="F33">_xlfn.XLOOKUP(A33&amp;B33,Лист2!A:A&amp;Лист2!B:B,Лист2!D:D,0,0)</f>
        <v>5389</v>
      </c>
      <c r="G33" s="4" cm="1">
        <f t="array" ref="G33">_xlfn.XLOOKUP(A33&amp;B33,Лист2!A:A&amp;Лист2!B:B,Лист2!E:E,0,0)</f>
        <v>5024</v>
      </c>
      <c r="H33" s="27">
        <f t="shared" si="0"/>
        <v>2710.5</v>
      </c>
      <c r="I33">
        <f t="shared" si="1"/>
        <v>21</v>
      </c>
    </row>
    <row r="34" spans="1:9" ht="14.25" customHeight="1" x14ac:dyDescent="0.45">
      <c r="A34" s="8">
        <v>43968</v>
      </c>
      <c r="B34" s="3" t="s">
        <v>11</v>
      </c>
      <c r="C34" s="3">
        <v>78057</v>
      </c>
      <c r="D34" s="3">
        <v>6774946.5</v>
      </c>
      <c r="E34" s="4" cm="1">
        <f t="array" ref="E34">_xlfn.XLOOKUP(A34&amp;B34,Лист2!A:A&amp;Лист2!B:B,Лист2!C:C,0,0)</f>
        <v>31</v>
      </c>
      <c r="F34" s="4" cm="1">
        <f t="array" ref="F34">_xlfn.XLOOKUP(A34&amp;B34,Лист2!A:A&amp;Лист2!B:B,Лист2!D:D,0,0)</f>
        <v>5206</v>
      </c>
      <c r="G34" s="4" cm="1">
        <f t="array" ref="G34">_xlfn.XLOOKUP(A34&amp;B34,Лист2!A:A&amp;Лист2!B:B,Лист2!E:E,0,0)</f>
        <v>4843</v>
      </c>
      <c r="H34" s="27">
        <f t="shared" si="0"/>
        <v>2518</v>
      </c>
      <c r="I34">
        <f t="shared" si="1"/>
        <v>20</v>
      </c>
    </row>
    <row r="35" spans="1:9" ht="14.25" customHeight="1" x14ac:dyDescent="0.45">
      <c r="A35" s="9">
        <v>43960</v>
      </c>
      <c r="B35" s="5" t="s">
        <v>11</v>
      </c>
      <c r="C35" s="5">
        <v>69720</v>
      </c>
      <c r="D35" s="5">
        <v>6264933</v>
      </c>
      <c r="E35" s="4" cm="1">
        <f t="array" ref="E35">_xlfn.XLOOKUP(A35&amp;B35,Лист2!A:A&amp;Лист2!B:B,Лист2!C:C,0,0)</f>
        <v>31</v>
      </c>
      <c r="F35" s="4" cm="1">
        <f t="array" ref="F35">_xlfn.XLOOKUP(A35&amp;B35,Лист2!A:A&amp;Лист2!B:B,Лист2!D:D,0,0)</f>
        <v>4556</v>
      </c>
      <c r="G35" s="4" cm="1">
        <f t="array" ref="G35">_xlfn.XLOOKUP(A35&amp;B35,Лист2!A:A&amp;Лист2!B:B,Лист2!E:E,0,0)</f>
        <v>4220</v>
      </c>
      <c r="H35" s="27">
        <f t="shared" si="0"/>
        <v>2249</v>
      </c>
      <c r="I35">
        <f t="shared" si="1"/>
        <v>19</v>
      </c>
    </row>
    <row r="36" spans="1:9" ht="14.25" customHeight="1" x14ac:dyDescent="0.45">
      <c r="A36" s="8">
        <v>43955</v>
      </c>
      <c r="B36" s="3" t="s">
        <v>11</v>
      </c>
      <c r="C36" s="3">
        <v>72928.5</v>
      </c>
      <c r="D36" s="3">
        <v>6642249</v>
      </c>
      <c r="E36" s="4" cm="1">
        <f t="array" ref="E36">_xlfn.XLOOKUP(A36&amp;B36,Лист2!A:A&amp;Лист2!B:B,Лист2!C:C,0,0)</f>
        <v>31</v>
      </c>
      <c r="F36" s="4" cm="1">
        <f t="array" ref="F36">_xlfn.XLOOKUP(A36&amp;B36,Лист2!A:A&amp;Лист2!B:B,Лист2!D:D,0,0)</f>
        <v>4968</v>
      </c>
      <c r="G36" s="4" cm="1">
        <f t="array" ref="G36">_xlfn.XLOOKUP(A36&amp;B36,Лист2!A:A&amp;Лист2!B:B,Лист2!E:E,0,0)</f>
        <v>4596</v>
      </c>
      <c r="H36" s="27">
        <f t="shared" si="0"/>
        <v>2352.5</v>
      </c>
      <c r="I36">
        <f t="shared" si="1"/>
        <v>19</v>
      </c>
    </row>
    <row r="37" spans="1:9" ht="14.25" customHeight="1" x14ac:dyDescent="0.45">
      <c r="A37" s="9">
        <v>43950</v>
      </c>
      <c r="B37" s="5" t="s">
        <v>11</v>
      </c>
      <c r="C37" s="5">
        <v>79527</v>
      </c>
      <c r="D37" s="5">
        <v>7180498.5</v>
      </c>
      <c r="E37" s="4" cm="1">
        <f t="array" ref="E37">_xlfn.XLOOKUP(A37&amp;B37,Лист2!A:A&amp;Лист2!B:B,Лист2!C:C,0,0)</f>
        <v>31</v>
      </c>
      <c r="F37" s="4" cm="1">
        <f t="array" ref="F37">_xlfn.XLOOKUP(A37&amp;B37,Лист2!A:A&amp;Лист2!B:B,Лист2!D:D,0,0)</f>
        <v>5378</v>
      </c>
      <c r="G37" s="4" cm="1">
        <f t="array" ref="G37">_xlfn.XLOOKUP(A37&amp;B37,Лист2!A:A&amp;Лист2!B:B,Лист2!E:E,0,0)</f>
        <v>4985</v>
      </c>
      <c r="H37" s="27">
        <f t="shared" si="0"/>
        <v>2565.4</v>
      </c>
      <c r="I37">
        <f t="shared" si="1"/>
        <v>18</v>
      </c>
    </row>
    <row r="38" spans="1:9" ht="14.25" customHeight="1" x14ac:dyDescent="0.45">
      <c r="A38" s="8">
        <v>43953</v>
      </c>
      <c r="B38" s="3" t="s">
        <v>11</v>
      </c>
      <c r="C38" s="3">
        <v>60463.5</v>
      </c>
      <c r="D38" s="3">
        <v>5554192.5</v>
      </c>
      <c r="E38" s="4" cm="1">
        <f t="array" ref="E38">_xlfn.XLOOKUP(A38&amp;B38,Лист2!A:A&amp;Лист2!B:B,Лист2!C:C,0,0)</f>
        <v>31</v>
      </c>
      <c r="F38" s="4" cm="1">
        <f t="array" ref="F38">_xlfn.XLOOKUP(A38&amp;B38,Лист2!A:A&amp;Лист2!B:B,Лист2!D:D,0,0)</f>
        <v>4157</v>
      </c>
      <c r="G38" s="4" cm="1">
        <f t="array" ref="G38">_xlfn.XLOOKUP(A38&amp;B38,Лист2!A:A&amp;Лист2!B:B,Лист2!E:E,0,0)</f>
        <v>3823</v>
      </c>
      <c r="H38" s="27">
        <f t="shared" si="0"/>
        <v>1950.4</v>
      </c>
      <c r="I38">
        <f t="shared" si="1"/>
        <v>18</v>
      </c>
    </row>
    <row r="39" spans="1:9" ht="14.25" customHeight="1" x14ac:dyDescent="0.45">
      <c r="A39" s="9">
        <v>43977</v>
      </c>
      <c r="B39" s="5" t="s">
        <v>11</v>
      </c>
      <c r="C39" s="5">
        <v>79975.5</v>
      </c>
      <c r="D39" s="5">
        <v>6676459.5</v>
      </c>
      <c r="E39" s="4" cm="1">
        <f t="array" ref="E39">_xlfn.XLOOKUP(A39&amp;B39,Лист2!A:A&amp;Лист2!B:B,Лист2!C:C,0,0)</f>
        <v>31</v>
      </c>
      <c r="F39" s="4" cm="1">
        <f t="array" ref="F39">_xlfn.XLOOKUP(A39&amp;B39,Лист2!A:A&amp;Лист2!B:B,Лист2!D:D,0,0)</f>
        <v>5493</v>
      </c>
      <c r="G39" s="4" cm="1">
        <f t="array" ref="G39">_xlfn.XLOOKUP(A39&amp;B39,Лист2!A:A&amp;Лист2!B:B,Лист2!E:E,0,0)</f>
        <v>5119</v>
      </c>
      <c r="H39" s="27">
        <f t="shared" si="0"/>
        <v>2579.9</v>
      </c>
      <c r="I39">
        <f t="shared" si="1"/>
        <v>22</v>
      </c>
    </row>
    <row r="40" spans="1:9" ht="14.25" customHeight="1" x14ac:dyDescent="0.45">
      <c r="A40" s="8">
        <v>43952</v>
      </c>
      <c r="B40" s="3" t="s">
        <v>11</v>
      </c>
      <c r="C40" s="3">
        <v>97534.5</v>
      </c>
      <c r="D40" s="3">
        <v>8893024.5</v>
      </c>
      <c r="E40" s="4" cm="1">
        <f t="array" ref="E40">_xlfn.XLOOKUP(A40&amp;B40,Лист2!A:A&amp;Лист2!B:B,Лист2!C:C,0,0)</f>
        <v>31</v>
      </c>
      <c r="F40" s="4" cm="1">
        <f t="array" ref="F40">_xlfn.XLOOKUP(A40&amp;B40,Лист2!A:A&amp;Лист2!B:B,Лист2!D:D,0,0)</f>
        <v>6118</v>
      </c>
      <c r="G40" s="4" cm="1">
        <f t="array" ref="G40">_xlfn.XLOOKUP(A40&amp;B40,Лист2!A:A&amp;Лист2!B:B,Лист2!E:E,0,0)</f>
        <v>5564</v>
      </c>
      <c r="H40" s="27">
        <f t="shared" si="0"/>
        <v>3146.3</v>
      </c>
      <c r="I40">
        <f t="shared" si="1"/>
        <v>18</v>
      </c>
    </row>
    <row r="41" spans="1:9" ht="14.25" customHeight="1" x14ac:dyDescent="0.45">
      <c r="A41" s="9">
        <v>43963</v>
      </c>
      <c r="B41" s="5" t="s">
        <v>11</v>
      </c>
      <c r="C41" s="5">
        <v>71520</v>
      </c>
      <c r="D41" s="5">
        <v>6398361</v>
      </c>
      <c r="E41" s="4" cm="1">
        <f t="array" ref="E41">_xlfn.XLOOKUP(A41&amp;B41,Лист2!A:A&amp;Лист2!B:B,Лист2!C:C,0,0)</f>
        <v>31</v>
      </c>
      <c r="F41" s="4" cm="1">
        <f t="array" ref="F41">_xlfn.XLOOKUP(A41&amp;B41,Лист2!A:A&amp;Лист2!B:B,Лист2!D:D,0,0)</f>
        <v>4800</v>
      </c>
      <c r="G41" s="4" cm="1">
        <f t="array" ref="G41">_xlfn.XLOOKUP(A41&amp;B41,Лист2!A:A&amp;Лист2!B:B,Лист2!E:E,0,0)</f>
        <v>4470</v>
      </c>
      <c r="H41" s="27">
        <f t="shared" si="0"/>
        <v>2307.1</v>
      </c>
      <c r="I41">
        <f t="shared" si="1"/>
        <v>20</v>
      </c>
    </row>
    <row r="42" spans="1:9" ht="14.25" customHeight="1" x14ac:dyDescent="0.45">
      <c r="A42" s="8">
        <v>43972</v>
      </c>
      <c r="B42" s="3" t="s">
        <v>11</v>
      </c>
      <c r="C42" s="3">
        <v>79485</v>
      </c>
      <c r="D42" s="3">
        <v>6633847.5</v>
      </c>
      <c r="E42" s="4" cm="1">
        <f t="array" ref="E42">_xlfn.XLOOKUP(A42&amp;B42,Лист2!A:A&amp;Лист2!B:B,Лист2!C:C,0,0)</f>
        <v>31</v>
      </c>
      <c r="F42" s="4" cm="1">
        <f t="array" ref="F42">_xlfn.XLOOKUP(A42&amp;B42,Лист2!A:A&amp;Лист2!B:B,Лист2!D:D,0,0)</f>
        <v>5207</v>
      </c>
      <c r="G42" s="4" cm="1">
        <f t="array" ref="G42">_xlfn.XLOOKUP(A42&amp;B42,Лист2!A:A&amp;Лист2!B:B,Лист2!E:E,0,0)</f>
        <v>4868</v>
      </c>
      <c r="H42" s="27">
        <f t="shared" si="0"/>
        <v>2564</v>
      </c>
      <c r="I42">
        <f t="shared" si="1"/>
        <v>21</v>
      </c>
    </row>
    <row r="43" spans="1:9" ht="14.25" customHeight="1" x14ac:dyDescent="0.45">
      <c r="A43" s="9">
        <v>43971</v>
      </c>
      <c r="B43" s="5" t="s">
        <v>11</v>
      </c>
      <c r="C43" s="5">
        <v>93313.5</v>
      </c>
      <c r="D43" s="5">
        <v>7247575.5</v>
      </c>
      <c r="E43" s="4" cm="1">
        <f t="array" ref="E43">_xlfn.XLOOKUP(A43&amp;B43,Лист2!A:A&amp;Лист2!B:B,Лист2!C:C,0,0)</f>
        <v>31</v>
      </c>
      <c r="F43" s="4" cm="1">
        <f t="array" ref="F43">_xlfn.XLOOKUP(A43&amp;B43,Лист2!A:A&amp;Лист2!B:B,Лист2!D:D,0,0)</f>
        <v>5698</v>
      </c>
      <c r="G43" s="4" cm="1">
        <f t="array" ref="G43">_xlfn.XLOOKUP(A43&amp;B43,Лист2!A:A&amp;Лист2!B:B,Лист2!E:E,0,0)</f>
        <v>5258</v>
      </c>
      <c r="H43" s="27">
        <f t="shared" si="0"/>
        <v>3010.1</v>
      </c>
      <c r="I43">
        <f t="shared" si="1"/>
        <v>21</v>
      </c>
    </row>
    <row r="44" spans="1:9" ht="14.25" customHeight="1" x14ac:dyDescent="0.45">
      <c r="A44" s="8">
        <v>43956</v>
      </c>
      <c r="B44" s="3" t="s">
        <v>11</v>
      </c>
      <c r="C44" s="3">
        <v>76585.5</v>
      </c>
      <c r="D44" s="3">
        <v>6921316.5</v>
      </c>
      <c r="E44" s="4" cm="1">
        <f t="array" ref="E44">_xlfn.XLOOKUP(A44&amp;B44,Лист2!A:A&amp;Лист2!B:B,Лист2!C:C,0,0)</f>
        <v>31</v>
      </c>
      <c r="F44" s="4" cm="1">
        <f t="array" ref="F44">_xlfn.XLOOKUP(A44&amp;B44,Лист2!A:A&amp;Лист2!B:B,Лист2!D:D,0,0)</f>
        <v>5188</v>
      </c>
      <c r="G44" s="4" cm="1">
        <f t="array" ref="G44">_xlfn.XLOOKUP(A44&amp;B44,Лист2!A:A&amp;Лист2!B:B,Лист2!E:E,0,0)</f>
        <v>4800</v>
      </c>
      <c r="H44" s="27">
        <f t="shared" si="0"/>
        <v>2470.5</v>
      </c>
      <c r="I44">
        <f t="shared" si="1"/>
        <v>19</v>
      </c>
    </row>
    <row r="45" spans="1:9" ht="14.25" customHeight="1" x14ac:dyDescent="0.45">
      <c r="A45" s="9">
        <v>43949</v>
      </c>
      <c r="B45" s="5" t="s">
        <v>11</v>
      </c>
      <c r="C45" s="5">
        <v>81826.5</v>
      </c>
      <c r="D45" s="5">
        <v>7163644.5</v>
      </c>
      <c r="E45" s="4" cm="1">
        <f t="array" ref="E45">_xlfn.XLOOKUP(A45&amp;B45,Лист2!A:A&amp;Лист2!B:B,Лист2!C:C,0,0)</f>
        <v>31</v>
      </c>
      <c r="F45" s="4" cm="1">
        <f t="array" ref="F45">_xlfn.XLOOKUP(A45&amp;B45,Лист2!A:A&amp;Лист2!B:B,Лист2!D:D,0,0)</f>
        <v>5465</v>
      </c>
      <c r="G45" s="4" cm="1">
        <f t="array" ref="G45">_xlfn.XLOOKUP(A45&amp;B45,Лист2!A:A&amp;Лист2!B:B,Лист2!E:E,0,0)</f>
        <v>5096</v>
      </c>
      <c r="H45" s="27">
        <f t="shared" si="0"/>
        <v>2639.6</v>
      </c>
      <c r="I45">
        <f t="shared" si="1"/>
        <v>18</v>
      </c>
    </row>
    <row r="46" spans="1:9" ht="14.25" customHeight="1" x14ac:dyDescent="0.45">
      <c r="A46" s="8">
        <v>43964</v>
      </c>
      <c r="B46" s="3" t="s">
        <v>11</v>
      </c>
      <c r="C46" s="3">
        <v>78846</v>
      </c>
      <c r="D46" s="3">
        <v>6993952.5</v>
      </c>
      <c r="E46" s="4" cm="1">
        <f t="array" ref="E46">_xlfn.XLOOKUP(A46&amp;B46,Лист2!A:A&amp;Лист2!B:B,Лист2!C:C,0,0)</f>
        <v>31</v>
      </c>
      <c r="F46" s="4" cm="1">
        <f t="array" ref="F46">_xlfn.XLOOKUP(A46&amp;B46,Лист2!A:A&amp;Лист2!B:B,Лист2!D:D,0,0)</f>
        <v>5251</v>
      </c>
      <c r="G46" s="4" cm="1">
        <f t="array" ref="G46">_xlfn.XLOOKUP(A46&amp;B46,Лист2!A:A&amp;Лист2!B:B,Лист2!E:E,0,0)</f>
        <v>4853</v>
      </c>
      <c r="H46" s="27">
        <f t="shared" si="0"/>
        <v>2543.4</v>
      </c>
      <c r="I46">
        <f t="shared" si="1"/>
        <v>20</v>
      </c>
    </row>
    <row r="47" spans="1:9" ht="14.25" customHeight="1" x14ac:dyDescent="0.45">
      <c r="A47" s="9">
        <v>43954</v>
      </c>
      <c r="B47" s="5" t="s">
        <v>11</v>
      </c>
      <c r="C47" s="5">
        <v>77263.5</v>
      </c>
      <c r="D47" s="5">
        <v>7013670</v>
      </c>
      <c r="E47" s="4" cm="1">
        <f t="array" ref="E47">_xlfn.XLOOKUP(A47&amp;B47,Лист2!A:A&amp;Лист2!B:B,Лист2!C:C,0,0)</f>
        <v>31</v>
      </c>
      <c r="F47" s="4" cm="1">
        <f t="array" ref="F47">_xlfn.XLOOKUP(A47&amp;B47,Лист2!A:A&amp;Лист2!B:B,Лист2!D:D,0,0)</f>
        <v>5155</v>
      </c>
      <c r="G47" s="4" cm="1">
        <f t="array" ref="G47">_xlfn.XLOOKUP(A47&amp;B47,Лист2!A:A&amp;Лист2!B:B,Лист2!E:E,0,0)</f>
        <v>4762</v>
      </c>
      <c r="H47" s="27">
        <f t="shared" si="0"/>
        <v>2492.4</v>
      </c>
      <c r="I47">
        <f t="shared" si="1"/>
        <v>18</v>
      </c>
    </row>
    <row r="48" spans="1:9" ht="14.25" customHeight="1" x14ac:dyDescent="0.45">
      <c r="A48" s="8">
        <v>43957</v>
      </c>
      <c r="B48" s="3" t="s">
        <v>11</v>
      </c>
      <c r="C48" s="3">
        <v>68994</v>
      </c>
      <c r="D48" s="3">
        <v>6168657</v>
      </c>
      <c r="E48" s="4" cm="1">
        <f t="array" ref="E48">_xlfn.XLOOKUP(A48&amp;B48,Лист2!A:A&amp;Лист2!B:B,Лист2!C:C,0,0)</f>
        <v>31</v>
      </c>
      <c r="F48" s="4" cm="1">
        <f t="array" ref="F48">_xlfn.XLOOKUP(A48&amp;B48,Лист2!A:A&amp;Лист2!B:B,Лист2!D:D,0,0)</f>
        <v>4709</v>
      </c>
      <c r="G48" s="4" cm="1">
        <f t="array" ref="G48">_xlfn.XLOOKUP(A48&amp;B48,Лист2!A:A&amp;Лист2!B:B,Лист2!E:E,0,0)</f>
        <v>4348</v>
      </c>
      <c r="H48" s="27">
        <f t="shared" si="0"/>
        <v>2225.6</v>
      </c>
      <c r="I48">
        <f t="shared" si="1"/>
        <v>19</v>
      </c>
    </row>
    <row r="49" spans="1:9" ht="14.25" customHeight="1" x14ac:dyDescent="0.45">
      <c r="A49" s="9">
        <v>43974</v>
      </c>
      <c r="B49" s="5" t="s">
        <v>11</v>
      </c>
      <c r="C49" s="5">
        <v>102889.5</v>
      </c>
      <c r="D49" s="5">
        <v>8089143</v>
      </c>
      <c r="E49" s="4" cm="1">
        <f t="array" ref="E49">_xlfn.XLOOKUP(A49&amp;B49,Лист2!A:A&amp;Лист2!B:B,Лист2!C:C,0,0)</f>
        <v>31</v>
      </c>
      <c r="F49" s="4" cm="1">
        <f t="array" ref="F49">_xlfn.XLOOKUP(A49&amp;B49,Лист2!A:A&amp;Лист2!B:B,Лист2!D:D,0,0)</f>
        <v>6276</v>
      </c>
      <c r="G49" s="4" cm="1">
        <f t="array" ref="G49">_xlfn.XLOOKUP(A49&amp;B49,Лист2!A:A&amp;Лист2!B:B,Лист2!E:E,0,0)</f>
        <v>5801</v>
      </c>
      <c r="H49" s="27">
        <f t="shared" si="0"/>
        <v>3319</v>
      </c>
      <c r="I49">
        <f t="shared" si="1"/>
        <v>21</v>
      </c>
    </row>
    <row r="50" spans="1:9" ht="14.25" customHeight="1" x14ac:dyDescent="0.45">
      <c r="A50" s="8">
        <v>43976</v>
      </c>
      <c r="B50" s="3" t="s">
        <v>11</v>
      </c>
      <c r="C50" s="3">
        <v>76999.5</v>
      </c>
      <c r="D50" s="3">
        <v>6645603</v>
      </c>
      <c r="E50" s="4" cm="1">
        <f t="array" ref="E50">_xlfn.XLOOKUP(A50&amp;B50,Лист2!A:A&amp;Лист2!B:B,Лист2!C:C,0,0)</f>
        <v>31</v>
      </c>
      <c r="F50" s="4" cm="1">
        <f t="array" ref="F50">_xlfn.XLOOKUP(A50&amp;B50,Лист2!A:A&amp;Лист2!B:B,Лист2!D:D,0,0)</f>
        <v>5210</v>
      </c>
      <c r="G50" s="4" cm="1">
        <f t="array" ref="G50">_xlfn.XLOOKUP(A50&amp;B50,Лист2!A:A&amp;Лист2!B:B,Лист2!E:E,0,0)</f>
        <v>4841</v>
      </c>
      <c r="H50" s="27">
        <f t="shared" si="0"/>
        <v>2483.9</v>
      </c>
      <c r="I50">
        <f t="shared" si="1"/>
        <v>22</v>
      </c>
    </row>
    <row r="51" spans="1:9" ht="14.25" customHeight="1" x14ac:dyDescent="0.45">
      <c r="A51" s="9">
        <v>43951</v>
      </c>
      <c r="B51" s="5" t="s">
        <v>11</v>
      </c>
      <c r="C51" s="5">
        <v>77565</v>
      </c>
      <c r="D51" s="5">
        <v>7023727.5</v>
      </c>
      <c r="E51" s="4" cm="1">
        <f t="array" ref="E51">_xlfn.XLOOKUP(A51&amp;B51,Лист2!A:A&amp;Лист2!B:B,Лист2!C:C,0,0)</f>
        <v>31</v>
      </c>
      <c r="F51" s="4" cm="1">
        <f t="array" ref="F51">_xlfn.XLOOKUP(A51&amp;B51,Лист2!A:A&amp;Лист2!B:B,Лист2!D:D,0,0)</f>
        <v>5120</v>
      </c>
      <c r="G51" s="4" cm="1">
        <f t="array" ref="G51">_xlfn.XLOOKUP(A51&amp;B51,Лист2!A:A&amp;Лист2!B:B,Лист2!E:E,0,0)</f>
        <v>4737</v>
      </c>
      <c r="H51" s="27">
        <f t="shared" si="0"/>
        <v>2502.1</v>
      </c>
      <c r="I51">
        <f t="shared" si="1"/>
        <v>18</v>
      </c>
    </row>
    <row r="52" spans="1:9" ht="14.25" customHeight="1" x14ac:dyDescent="0.45">
      <c r="A52" s="8">
        <v>43961</v>
      </c>
      <c r="B52" s="3" t="s">
        <v>11</v>
      </c>
      <c r="C52" s="3">
        <v>84132</v>
      </c>
      <c r="D52" s="3">
        <v>7483194</v>
      </c>
      <c r="E52" s="4" cm="1">
        <f t="array" ref="E52">_xlfn.XLOOKUP(A52&amp;B52,Лист2!A:A&amp;Лист2!B:B,Лист2!C:C,0,0)</f>
        <v>31</v>
      </c>
      <c r="F52" s="4" cm="1">
        <f t="array" ref="F52">_xlfn.XLOOKUP(A52&amp;B52,Лист2!A:A&amp;Лист2!B:B,Лист2!D:D,0,0)</f>
        <v>5495</v>
      </c>
      <c r="G52" s="4" cm="1">
        <f t="array" ref="G52">_xlfn.XLOOKUP(A52&amp;B52,Лист2!A:A&amp;Лист2!B:B,Лист2!E:E,0,0)</f>
        <v>5093</v>
      </c>
      <c r="H52" s="27">
        <f t="shared" si="0"/>
        <v>2713.9</v>
      </c>
      <c r="I52">
        <f t="shared" si="1"/>
        <v>19</v>
      </c>
    </row>
    <row r="53" spans="1:9" ht="14.25" customHeight="1" x14ac:dyDescent="0.45">
      <c r="A53" s="9">
        <v>43959</v>
      </c>
      <c r="B53" s="5" t="s">
        <v>11</v>
      </c>
      <c r="C53" s="5">
        <v>69544.5</v>
      </c>
      <c r="D53" s="5">
        <v>6293776.5</v>
      </c>
      <c r="E53" s="4" cm="1">
        <f t="array" ref="E53">_xlfn.XLOOKUP(A53&amp;B53,Лист2!A:A&amp;Лист2!B:B,Лист2!C:C,0,0)</f>
        <v>31</v>
      </c>
      <c r="F53" s="4" cm="1">
        <f t="array" ref="F53">_xlfn.XLOOKUP(A53&amp;B53,Лист2!A:A&amp;Лист2!B:B,Лист2!D:D,0,0)</f>
        <v>4635</v>
      </c>
      <c r="G53" s="4" cm="1">
        <f t="array" ref="G53">_xlfn.XLOOKUP(A53&amp;B53,Лист2!A:A&amp;Лист2!B:B,Лист2!E:E,0,0)</f>
        <v>4266</v>
      </c>
      <c r="H53" s="27">
        <f t="shared" si="0"/>
        <v>2243.4</v>
      </c>
      <c r="I53">
        <f t="shared" si="1"/>
        <v>19</v>
      </c>
    </row>
    <row r="54" spans="1:9" ht="14.25" customHeight="1" x14ac:dyDescent="0.45">
      <c r="A54" s="8">
        <v>43958</v>
      </c>
      <c r="B54" s="3" t="s">
        <v>11</v>
      </c>
      <c r="C54" s="3">
        <v>73204.5</v>
      </c>
      <c r="D54" s="3">
        <v>6591883.5</v>
      </c>
      <c r="E54" s="4" cm="1">
        <f t="array" ref="E54">_xlfn.XLOOKUP(A54&amp;B54,Лист2!A:A&amp;Лист2!B:B,Лист2!C:C,0,0)</f>
        <v>31</v>
      </c>
      <c r="F54" s="4" cm="1">
        <f t="array" ref="F54">_xlfn.XLOOKUP(A54&amp;B54,Лист2!A:A&amp;Лист2!B:B,Лист2!D:D,0,0)</f>
        <v>4903</v>
      </c>
      <c r="G54" s="4" cm="1">
        <f t="array" ref="G54">_xlfn.XLOOKUP(A54&amp;B54,Лист2!A:A&amp;Лист2!B:B,Лист2!E:E,0,0)</f>
        <v>4527</v>
      </c>
      <c r="H54" s="27">
        <f t="shared" si="0"/>
        <v>2361.4</v>
      </c>
      <c r="I54">
        <f t="shared" si="1"/>
        <v>19</v>
      </c>
    </row>
    <row r="55" spans="1:9" ht="14.25" customHeight="1" x14ac:dyDescent="0.45">
      <c r="A55" s="9">
        <v>43975</v>
      </c>
      <c r="B55" s="5" t="s">
        <v>11</v>
      </c>
      <c r="C55" s="5">
        <v>76663.5</v>
      </c>
      <c r="D55" s="5">
        <v>6451032</v>
      </c>
      <c r="E55" s="4" cm="1">
        <f t="array" ref="E55">_xlfn.XLOOKUP(A55&amp;B55,Лист2!A:A&amp;Лист2!B:B,Лист2!C:C,0,0)</f>
        <v>31</v>
      </c>
      <c r="F55" s="4" cm="1">
        <f t="array" ref="F55">_xlfn.XLOOKUP(A55&amp;B55,Лист2!A:A&amp;Лист2!B:B,Лист2!D:D,0,0)</f>
        <v>5035</v>
      </c>
      <c r="G55" s="4" cm="1">
        <f t="array" ref="G55">_xlfn.XLOOKUP(A55&amp;B55,Лист2!A:A&amp;Лист2!B:B,Лист2!E:E,0,0)</f>
        <v>4683</v>
      </c>
      <c r="H55" s="27">
        <f t="shared" si="0"/>
        <v>2473</v>
      </c>
      <c r="I55">
        <f t="shared" si="1"/>
        <v>21</v>
      </c>
    </row>
    <row r="56" spans="1:9" ht="14.25" customHeight="1" x14ac:dyDescent="0.45">
      <c r="A56" s="8">
        <v>43967</v>
      </c>
      <c r="B56" s="3" t="s">
        <v>12</v>
      </c>
      <c r="C56" s="3">
        <v>14265</v>
      </c>
      <c r="D56" s="3">
        <v>1130506.5</v>
      </c>
      <c r="E56" s="4" cm="1">
        <f t="array" ref="E56">_xlfn.XLOOKUP(A56&amp;B56,Лист2!A:A&amp;Лист2!B:B,Лист2!C:C,0,0)</f>
        <v>10</v>
      </c>
      <c r="F56" s="4" cm="1">
        <f t="array" ref="F56">_xlfn.XLOOKUP(A56&amp;B56,Лист2!A:A&amp;Лист2!B:B,Лист2!D:D,0,0)</f>
        <v>760</v>
      </c>
      <c r="G56" s="4" cm="1">
        <f t="array" ref="G56">_xlfn.XLOOKUP(A56&amp;B56,Лист2!A:A&amp;Лист2!B:B,Лист2!E:E,0,0)</f>
        <v>672</v>
      </c>
      <c r="H56" s="27">
        <f t="shared" si="0"/>
        <v>1426.5</v>
      </c>
      <c r="I56">
        <f t="shared" si="1"/>
        <v>20</v>
      </c>
    </row>
    <row r="57" spans="1:9" ht="14.25" customHeight="1" x14ac:dyDescent="0.45">
      <c r="A57" s="9">
        <v>43970</v>
      </c>
      <c r="B57" s="5" t="s">
        <v>12</v>
      </c>
      <c r="C57" s="5">
        <v>11526</v>
      </c>
      <c r="D57" s="5">
        <v>938764.5</v>
      </c>
      <c r="E57" s="4" cm="1">
        <f t="array" ref="E57">_xlfn.XLOOKUP(A57&amp;B57,Лист2!A:A&amp;Лист2!B:B,Лист2!C:C,0,0)</f>
        <v>10</v>
      </c>
      <c r="F57" s="4" cm="1">
        <f t="array" ref="F57">_xlfn.XLOOKUP(A57&amp;B57,Лист2!A:A&amp;Лист2!B:B,Лист2!D:D,0,0)</f>
        <v>649</v>
      </c>
      <c r="G57" s="4" cm="1">
        <f t="array" ref="G57">_xlfn.XLOOKUP(A57&amp;B57,Лист2!A:A&amp;Лист2!B:B,Лист2!E:E,0,0)</f>
        <v>568</v>
      </c>
      <c r="H57" s="27">
        <f t="shared" si="0"/>
        <v>1152.5999999999999</v>
      </c>
      <c r="I57">
        <f t="shared" si="1"/>
        <v>21</v>
      </c>
    </row>
    <row r="58" spans="1:9" ht="14.25" customHeight="1" x14ac:dyDescent="0.45">
      <c r="A58" s="8">
        <v>43968</v>
      </c>
      <c r="B58" s="3" t="s">
        <v>12</v>
      </c>
      <c r="C58" s="3">
        <v>10402.5</v>
      </c>
      <c r="D58" s="3">
        <v>843727.5</v>
      </c>
      <c r="E58" s="4" cm="1">
        <f t="array" ref="E58">_xlfn.XLOOKUP(A58&amp;B58,Лист2!A:A&amp;Лист2!B:B,Лист2!C:C,0,0)</f>
        <v>10</v>
      </c>
      <c r="F58" s="4" cm="1">
        <f t="array" ref="F58">_xlfn.XLOOKUP(A58&amp;B58,Лист2!A:A&amp;Лист2!B:B,Лист2!D:D,0,0)</f>
        <v>591</v>
      </c>
      <c r="G58" s="4" cm="1">
        <f t="array" ref="G58">_xlfn.XLOOKUP(A58&amp;B58,Лист2!A:A&amp;Лист2!B:B,Лист2!E:E,0,0)</f>
        <v>513</v>
      </c>
      <c r="H58" s="27">
        <f t="shared" si="0"/>
        <v>1040.3</v>
      </c>
      <c r="I58">
        <f t="shared" si="1"/>
        <v>20</v>
      </c>
    </row>
    <row r="59" spans="1:9" ht="14.25" customHeight="1" x14ac:dyDescent="0.45">
      <c r="A59" s="9">
        <v>43960</v>
      </c>
      <c r="B59" s="5" t="s">
        <v>12</v>
      </c>
      <c r="C59" s="5">
        <v>13216.5</v>
      </c>
      <c r="D59" s="5">
        <v>1046400</v>
      </c>
      <c r="E59" s="4" cm="1">
        <f t="array" ref="E59">_xlfn.XLOOKUP(A59&amp;B59,Лист2!A:A&amp;Лист2!B:B,Лист2!C:C,0,0)</f>
        <v>10</v>
      </c>
      <c r="F59" s="4" cm="1">
        <f t="array" ref="F59">_xlfn.XLOOKUP(A59&amp;B59,Лист2!A:A&amp;Лист2!B:B,Лист2!D:D,0,0)</f>
        <v>644</v>
      </c>
      <c r="G59" s="4" cm="1">
        <f t="array" ref="G59">_xlfn.XLOOKUP(A59&amp;B59,Лист2!A:A&amp;Лист2!B:B,Лист2!E:E,0,0)</f>
        <v>559</v>
      </c>
      <c r="H59" s="27">
        <f t="shared" si="0"/>
        <v>1321.7</v>
      </c>
      <c r="I59">
        <f t="shared" si="1"/>
        <v>19</v>
      </c>
    </row>
    <row r="60" spans="1:9" ht="14.25" customHeight="1" x14ac:dyDescent="0.45">
      <c r="A60" s="8">
        <v>43955</v>
      </c>
      <c r="B60" s="3" t="s">
        <v>12</v>
      </c>
      <c r="C60" s="3">
        <v>9130.5</v>
      </c>
      <c r="D60" s="3">
        <v>728890.5</v>
      </c>
      <c r="E60" s="4" cm="1">
        <f t="array" ref="E60">_xlfn.XLOOKUP(A60&amp;B60,Лист2!A:A&amp;Лист2!B:B,Лист2!C:C,0,0)</f>
        <v>10</v>
      </c>
      <c r="F60" s="4" cm="1">
        <f t="array" ref="F60">_xlfn.XLOOKUP(A60&amp;B60,Лист2!A:A&amp;Лист2!B:B,Лист2!D:D,0,0)</f>
        <v>462</v>
      </c>
      <c r="G60" s="4" cm="1">
        <f t="array" ref="G60">_xlfn.XLOOKUP(A60&amp;B60,Лист2!A:A&amp;Лист2!B:B,Лист2!E:E,0,0)</f>
        <v>396</v>
      </c>
      <c r="H60" s="27">
        <f t="shared" si="0"/>
        <v>913.1</v>
      </c>
      <c r="I60">
        <f t="shared" si="1"/>
        <v>19</v>
      </c>
    </row>
    <row r="61" spans="1:9" ht="14.25" customHeight="1" x14ac:dyDescent="0.45">
      <c r="A61" s="9">
        <v>43950</v>
      </c>
      <c r="B61" s="5" t="s">
        <v>12</v>
      </c>
      <c r="C61" s="5">
        <v>10840.5</v>
      </c>
      <c r="D61" s="5">
        <v>797919</v>
      </c>
      <c r="E61" s="4" cm="1">
        <f t="array" ref="E61">_xlfn.XLOOKUP(A61&amp;B61,Лист2!A:A&amp;Лист2!B:B,Лист2!C:C,0,0)</f>
        <v>10</v>
      </c>
      <c r="F61" s="4" cm="1">
        <f t="array" ref="F61">_xlfn.XLOOKUP(A61&amp;B61,Лист2!A:A&amp;Лист2!B:B,Лист2!D:D,0,0)</f>
        <v>502</v>
      </c>
      <c r="G61" s="4" cm="1">
        <f t="array" ref="G61">_xlfn.XLOOKUP(A61&amp;B61,Лист2!A:A&amp;Лист2!B:B,Лист2!E:E,0,0)</f>
        <v>433</v>
      </c>
      <c r="H61" s="27">
        <f t="shared" si="0"/>
        <v>1084.0999999999999</v>
      </c>
      <c r="I61">
        <f t="shared" si="1"/>
        <v>18</v>
      </c>
    </row>
    <row r="62" spans="1:9" ht="14.25" customHeight="1" x14ac:dyDescent="0.45">
      <c r="A62" s="8">
        <v>43953</v>
      </c>
      <c r="B62" s="3" t="s">
        <v>12</v>
      </c>
      <c r="C62" s="3">
        <v>7866</v>
      </c>
      <c r="D62" s="3">
        <v>617881.5</v>
      </c>
      <c r="E62" s="4" cm="1">
        <f t="array" ref="E62">_xlfn.XLOOKUP(A62&amp;B62,Лист2!A:A&amp;Лист2!B:B,Лист2!C:C,0,0)</f>
        <v>10</v>
      </c>
      <c r="F62" s="4" cm="1">
        <f t="array" ref="F62">_xlfn.XLOOKUP(A62&amp;B62,Лист2!A:A&amp;Лист2!B:B,Лист2!D:D,0,0)</f>
        <v>416</v>
      </c>
      <c r="G62" s="4" cm="1">
        <f t="array" ref="G62">_xlfn.XLOOKUP(A62&amp;B62,Лист2!A:A&amp;Лист2!B:B,Лист2!E:E,0,0)</f>
        <v>341</v>
      </c>
      <c r="H62" s="27">
        <f t="shared" si="0"/>
        <v>786.6</v>
      </c>
      <c r="I62">
        <f t="shared" si="1"/>
        <v>18</v>
      </c>
    </row>
    <row r="63" spans="1:9" ht="14.25" customHeight="1" x14ac:dyDescent="0.45">
      <c r="A63" s="9">
        <v>43977</v>
      </c>
      <c r="B63" s="5" t="s">
        <v>12</v>
      </c>
      <c r="C63" s="5">
        <v>11835</v>
      </c>
      <c r="D63" s="5">
        <v>983109</v>
      </c>
      <c r="E63" s="4" cm="1">
        <f t="array" ref="E63">_xlfn.XLOOKUP(A63&amp;B63,Лист2!A:A&amp;Лист2!B:B,Лист2!C:C,0,0)</f>
        <v>10</v>
      </c>
      <c r="F63" s="4" cm="1">
        <f t="array" ref="F63">_xlfn.XLOOKUP(A63&amp;B63,Лист2!A:A&amp;Лист2!B:B,Лист2!D:D,0,0)</f>
        <v>692</v>
      </c>
      <c r="G63" s="4" cm="1">
        <f t="array" ref="G63">_xlfn.XLOOKUP(A63&amp;B63,Лист2!A:A&amp;Лист2!B:B,Лист2!E:E,0,0)</f>
        <v>601</v>
      </c>
      <c r="H63" s="27">
        <f t="shared" si="0"/>
        <v>1183.5</v>
      </c>
      <c r="I63">
        <f t="shared" si="1"/>
        <v>22</v>
      </c>
    </row>
    <row r="64" spans="1:9" ht="14.25" customHeight="1" x14ac:dyDescent="0.45">
      <c r="A64" s="8">
        <v>43952</v>
      </c>
      <c r="B64" s="3" t="s">
        <v>12</v>
      </c>
      <c r="C64" s="3">
        <v>11619</v>
      </c>
      <c r="D64" s="3">
        <v>891139.5</v>
      </c>
      <c r="E64" s="4" cm="1">
        <f t="array" ref="E64">_xlfn.XLOOKUP(A64&amp;B64,Лист2!A:A&amp;Лист2!B:B,Лист2!C:C,0,0)</f>
        <v>10</v>
      </c>
      <c r="F64" s="4" cm="1">
        <f t="array" ref="F64">_xlfn.XLOOKUP(A64&amp;B64,Лист2!A:A&amp;Лист2!B:B,Лист2!D:D,0,0)</f>
        <v>554</v>
      </c>
      <c r="G64" s="4" cm="1">
        <f t="array" ref="G64">_xlfn.XLOOKUP(A64&amp;B64,Лист2!A:A&amp;Лист2!B:B,Лист2!E:E,0,0)</f>
        <v>472</v>
      </c>
      <c r="H64" s="27">
        <f t="shared" si="0"/>
        <v>1161.9000000000001</v>
      </c>
      <c r="I64">
        <f t="shared" si="1"/>
        <v>18</v>
      </c>
    </row>
    <row r="65" spans="1:9" ht="14.25" customHeight="1" x14ac:dyDescent="0.45">
      <c r="A65" s="9">
        <v>43963</v>
      </c>
      <c r="B65" s="5" t="s">
        <v>12</v>
      </c>
      <c r="C65" s="5">
        <v>9328.5</v>
      </c>
      <c r="D65" s="5">
        <v>732964.5</v>
      </c>
      <c r="E65" s="4" cm="1">
        <f t="array" ref="E65">_xlfn.XLOOKUP(A65&amp;B65,Лист2!A:A&amp;Лист2!B:B,Лист2!C:C,0,0)</f>
        <v>10</v>
      </c>
      <c r="F65" s="4" cm="1">
        <f t="array" ref="F65">_xlfn.XLOOKUP(A65&amp;B65,Лист2!A:A&amp;Лист2!B:B,Лист2!D:D,0,0)</f>
        <v>526</v>
      </c>
      <c r="G65" s="4" cm="1">
        <f t="array" ref="G65">_xlfn.XLOOKUP(A65&amp;B65,Лист2!A:A&amp;Лист2!B:B,Лист2!E:E,0,0)</f>
        <v>448</v>
      </c>
      <c r="H65" s="27">
        <f t="shared" si="0"/>
        <v>932.9</v>
      </c>
      <c r="I65">
        <f t="shared" si="1"/>
        <v>20</v>
      </c>
    </row>
    <row r="66" spans="1:9" ht="14.25" customHeight="1" x14ac:dyDescent="0.45">
      <c r="A66" s="8">
        <v>43972</v>
      </c>
      <c r="B66" s="3" t="s">
        <v>12</v>
      </c>
      <c r="C66" s="3">
        <v>11250</v>
      </c>
      <c r="D66" s="3">
        <v>935523</v>
      </c>
      <c r="E66" s="4" cm="1">
        <f t="array" ref="E66">_xlfn.XLOOKUP(A66&amp;B66,Лист2!A:A&amp;Лист2!B:B,Лист2!C:C,0,0)</f>
        <v>10</v>
      </c>
      <c r="F66" s="4" cm="1">
        <f t="array" ref="F66">_xlfn.XLOOKUP(A66&amp;B66,Лист2!A:A&amp;Лист2!B:B,Лист2!D:D,0,0)</f>
        <v>677</v>
      </c>
      <c r="G66" s="4" cm="1">
        <f t="array" ref="G66">_xlfn.XLOOKUP(A66&amp;B66,Лист2!A:A&amp;Лист2!B:B,Лист2!E:E,0,0)</f>
        <v>591</v>
      </c>
      <c r="H66" s="27">
        <f t="shared" si="0"/>
        <v>1125</v>
      </c>
      <c r="I66">
        <f t="shared" si="1"/>
        <v>21</v>
      </c>
    </row>
    <row r="67" spans="1:9" ht="14.25" customHeight="1" x14ac:dyDescent="0.45">
      <c r="A67" s="9">
        <v>43971</v>
      </c>
      <c r="B67" s="5" t="s">
        <v>12</v>
      </c>
      <c r="C67" s="5">
        <v>13063.5</v>
      </c>
      <c r="D67" s="5">
        <v>1037247</v>
      </c>
      <c r="E67" s="4" cm="1">
        <f t="array" ref="E67">_xlfn.XLOOKUP(A67&amp;B67,Лист2!A:A&amp;Лист2!B:B,Лист2!C:C,0,0)</f>
        <v>10</v>
      </c>
      <c r="F67" s="4" cm="1">
        <f t="array" ref="F67">_xlfn.XLOOKUP(A67&amp;B67,Лист2!A:A&amp;Лист2!B:B,Лист2!D:D,0,0)</f>
        <v>745</v>
      </c>
      <c r="G67" s="4" cm="1">
        <f t="array" ref="G67">_xlfn.XLOOKUP(A67&amp;B67,Лист2!A:A&amp;Лист2!B:B,Лист2!E:E,0,0)</f>
        <v>654</v>
      </c>
      <c r="H67" s="27">
        <f t="shared" ref="H67:H130" si="2">ROUND(C67/E67, 1)</f>
        <v>1306.4000000000001</v>
      </c>
      <c r="I67">
        <f t="shared" ref="I67:I130" si="3">WEEKNUM(A67,2)</f>
        <v>21</v>
      </c>
    </row>
    <row r="68" spans="1:9" ht="14.25" customHeight="1" x14ac:dyDescent="0.45">
      <c r="A68" s="8">
        <v>43956</v>
      </c>
      <c r="B68" s="3" t="s">
        <v>12</v>
      </c>
      <c r="C68" s="3">
        <v>10147.5</v>
      </c>
      <c r="D68" s="3">
        <v>793320</v>
      </c>
      <c r="E68" s="4" cm="1">
        <f t="array" ref="E68">_xlfn.XLOOKUP(A68&amp;B68,Лист2!A:A&amp;Лист2!B:B,Лист2!C:C,0,0)</f>
        <v>10</v>
      </c>
      <c r="F68" s="4" cm="1">
        <f t="array" ref="F68">_xlfn.XLOOKUP(A68&amp;B68,Лист2!A:A&amp;Лист2!B:B,Лист2!D:D,0,0)</f>
        <v>511</v>
      </c>
      <c r="G68" s="4" cm="1">
        <f t="array" ref="G68">_xlfn.XLOOKUP(A68&amp;B68,Лист2!A:A&amp;Лист2!B:B,Лист2!E:E,0,0)</f>
        <v>437</v>
      </c>
      <c r="H68" s="27">
        <f t="shared" si="2"/>
        <v>1014.8</v>
      </c>
      <c r="I68">
        <f t="shared" si="3"/>
        <v>19</v>
      </c>
    </row>
    <row r="69" spans="1:9" ht="14.25" customHeight="1" x14ac:dyDescent="0.45">
      <c r="A69" s="9">
        <v>43949</v>
      </c>
      <c r="B69" s="5" t="s">
        <v>12</v>
      </c>
      <c r="C69" s="5">
        <v>12331.5</v>
      </c>
      <c r="D69" s="5">
        <v>869983.5</v>
      </c>
      <c r="E69" s="4" cm="1">
        <f t="array" ref="E69">_xlfn.XLOOKUP(A69&amp;B69,Лист2!A:A&amp;Лист2!B:B,Лист2!C:C,0,0)</f>
        <v>10</v>
      </c>
      <c r="F69" s="4" cm="1">
        <f t="array" ref="F69">_xlfn.XLOOKUP(A69&amp;B69,Лист2!A:A&amp;Лист2!B:B,Лист2!D:D,0,0)</f>
        <v>580</v>
      </c>
      <c r="G69" s="4" cm="1">
        <f t="array" ref="G69">_xlfn.XLOOKUP(A69&amp;B69,Лист2!A:A&amp;Лист2!B:B,Лист2!E:E,0,0)</f>
        <v>506</v>
      </c>
      <c r="H69" s="27">
        <f t="shared" si="2"/>
        <v>1233.2</v>
      </c>
      <c r="I69">
        <f t="shared" si="3"/>
        <v>18</v>
      </c>
    </row>
    <row r="70" spans="1:9" ht="14.25" customHeight="1" x14ac:dyDescent="0.45">
      <c r="A70" s="8">
        <v>43964</v>
      </c>
      <c r="B70" s="3" t="s">
        <v>12</v>
      </c>
      <c r="C70" s="3">
        <v>11202</v>
      </c>
      <c r="D70" s="3">
        <v>865714.5</v>
      </c>
      <c r="E70" s="4" cm="1">
        <f t="array" ref="E70">_xlfn.XLOOKUP(A70&amp;B70,Лист2!A:A&amp;Лист2!B:B,Лист2!C:C,0,0)</f>
        <v>10</v>
      </c>
      <c r="F70" s="4" cm="1">
        <f t="array" ref="F70">_xlfn.XLOOKUP(A70&amp;B70,Лист2!A:A&amp;Лист2!B:B,Лист2!D:D,0,0)</f>
        <v>612</v>
      </c>
      <c r="G70" s="4" cm="1">
        <f t="array" ref="G70">_xlfn.XLOOKUP(A70&amp;B70,Лист2!A:A&amp;Лист2!B:B,Лист2!E:E,0,0)</f>
        <v>530</v>
      </c>
      <c r="H70" s="27">
        <f t="shared" si="2"/>
        <v>1120.2</v>
      </c>
      <c r="I70">
        <f t="shared" si="3"/>
        <v>20</v>
      </c>
    </row>
    <row r="71" spans="1:9" ht="14.25" customHeight="1" x14ac:dyDescent="0.45">
      <c r="A71" s="9">
        <v>43982</v>
      </c>
      <c r="B71" s="5" t="s">
        <v>11</v>
      </c>
      <c r="C71" s="5">
        <v>89149.5</v>
      </c>
      <c r="D71" s="5">
        <v>7512646.5</v>
      </c>
      <c r="E71" s="4" cm="1">
        <f t="array" ref="E71">_xlfn.XLOOKUP(A71&amp;B71,Лист2!A:A&amp;Лист2!B:B,Лист2!C:C,0,0)</f>
        <v>31</v>
      </c>
      <c r="F71" s="4" cm="1">
        <f t="array" ref="F71">_xlfn.XLOOKUP(A71&amp;B71,Лист2!A:A&amp;Лист2!B:B,Лист2!D:D,0,0)</f>
        <v>5760</v>
      </c>
      <c r="G71" s="4" cm="1">
        <f t="array" ref="G71">_xlfn.XLOOKUP(A71&amp;B71,Лист2!A:A&amp;Лист2!B:B,Лист2!E:E,0,0)</f>
        <v>5367</v>
      </c>
      <c r="H71" s="27">
        <f t="shared" si="2"/>
        <v>2875.8</v>
      </c>
      <c r="I71">
        <f t="shared" si="3"/>
        <v>22</v>
      </c>
    </row>
    <row r="72" spans="1:9" ht="14.25" customHeight="1" x14ac:dyDescent="0.45">
      <c r="A72" s="8">
        <v>43954</v>
      </c>
      <c r="B72" s="3" t="s">
        <v>12</v>
      </c>
      <c r="C72" s="3">
        <v>8185.5</v>
      </c>
      <c r="D72" s="3">
        <v>637881</v>
      </c>
      <c r="E72" s="4" cm="1">
        <f t="array" ref="E72">_xlfn.XLOOKUP(A72&amp;B72,Лист2!A:A&amp;Лист2!B:B,Лист2!C:C,0,0)</f>
        <v>10</v>
      </c>
      <c r="F72" s="4" cm="1">
        <f t="array" ref="F72">_xlfn.XLOOKUP(A72&amp;B72,Лист2!A:A&amp;Лист2!B:B,Лист2!D:D,0,0)</f>
        <v>402</v>
      </c>
      <c r="G72" s="4" cm="1">
        <f t="array" ref="G72">_xlfn.XLOOKUP(A72&amp;B72,Лист2!A:A&amp;Лист2!B:B,Лист2!E:E,0,0)</f>
        <v>333</v>
      </c>
      <c r="H72" s="27">
        <f t="shared" si="2"/>
        <v>818.6</v>
      </c>
      <c r="I72">
        <f t="shared" si="3"/>
        <v>18</v>
      </c>
    </row>
    <row r="73" spans="1:9" ht="14.25" customHeight="1" x14ac:dyDescent="0.45">
      <c r="A73" s="9">
        <v>43981</v>
      </c>
      <c r="B73" s="5" t="s">
        <v>11</v>
      </c>
      <c r="C73" s="5">
        <v>108123</v>
      </c>
      <c r="D73" s="5">
        <v>9164707.5</v>
      </c>
      <c r="E73" s="4" cm="1">
        <f t="array" ref="E73">_xlfn.XLOOKUP(A73&amp;B73,Лист2!A:A&amp;Лист2!B:B,Лист2!C:C,0,0)</f>
        <v>31</v>
      </c>
      <c r="F73" s="4" cm="1">
        <f t="array" ref="F73">_xlfn.XLOOKUP(A73&amp;B73,Лист2!A:A&amp;Лист2!B:B,Лист2!D:D,0,0)</f>
        <v>6735</v>
      </c>
      <c r="G73" s="4" cm="1">
        <f t="array" ref="G73">_xlfn.XLOOKUP(A73&amp;B73,Лист2!A:A&amp;Лист2!B:B,Лист2!E:E,0,0)</f>
        <v>6264</v>
      </c>
      <c r="H73" s="27">
        <f t="shared" si="2"/>
        <v>3487.8</v>
      </c>
      <c r="I73">
        <f t="shared" si="3"/>
        <v>22</v>
      </c>
    </row>
    <row r="74" spans="1:9" ht="14.25" customHeight="1" x14ac:dyDescent="0.45">
      <c r="A74" s="8">
        <v>43957</v>
      </c>
      <c r="B74" s="3" t="s">
        <v>12</v>
      </c>
      <c r="C74" s="3">
        <v>9210</v>
      </c>
      <c r="D74" s="3">
        <v>696832.5</v>
      </c>
      <c r="E74" s="4" cm="1">
        <f t="array" ref="E74">_xlfn.XLOOKUP(A74&amp;B74,Лист2!A:A&amp;Лист2!B:B,Лист2!C:C,0,0)</f>
        <v>10</v>
      </c>
      <c r="F74" s="4" cm="1">
        <f t="array" ref="F74">_xlfn.XLOOKUP(A74&amp;B74,Лист2!A:A&amp;Лист2!B:B,Лист2!D:D,0,0)</f>
        <v>465</v>
      </c>
      <c r="G74" s="4" cm="1">
        <f t="array" ref="G74">_xlfn.XLOOKUP(A74&amp;B74,Лист2!A:A&amp;Лист2!B:B,Лист2!E:E,0,0)</f>
        <v>390</v>
      </c>
      <c r="H74" s="27">
        <f t="shared" si="2"/>
        <v>921</v>
      </c>
      <c r="I74">
        <f t="shared" si="3"/>
        <v>19</v>
      </c>
    </row>
    <row r="75" spans="1:9" ht="14.25" customHeight="1" x14ac:dyDescent="0.45">
      <c r="A75" s="9">
        <v>43974</v>
      </c>
      <c r="B75" s="5" t="s">
        <v>12</v>
      </c>
      <c r="C75" s="5">
        <v>14773.5</v>
      </c>
      <c r="D75" s="5">
        <v>1241383.5</v>
      </c>
      <c r="E75" s="4" cm="1">
        <f t="array" ref="E75">_xlfn.XLOOKUP(A75&amp;B75,Лист2!A:A&amp;Лист2!B:B,Лист2!C:C,0,0)</f>
        <v>10</v>
      </c>
      <c r="F75" s="4" cm="1">
        <f t="array" ref="F75">_xlfn.XLOOKUP(A75&amp;B75,Лист2!A:A&amp;Лист2!B:B,Лист2!D:D,0,0)</f>
        <v>828</v>
      </c>
      <c r="G75" s="4" cm="1">
        <f t="array" ref="G75">_xlfn.XLOOKUP(A75&amp;B75,Лист2!A:A&amp;Лист2!B:B,Лист2!E:E,0,0)</f>
        <v>734</v>
      </c>
      <c r="H75" s="27">
        <f t="shared" si="2"/>
        <v>1477.4</v>
      </c>
      <c r="I75">
        <f t="shared" si="3"/>
        <v>21</v>
      </c>
    </row>
    <row r="76" spans="1:9" ht="14.25" customHeight="1" x14ac:dyDescent="0.45">
      <c r="A76" s="8">
        <v>43979</v>
      </c>
      <c r="B76" s="3" t="s">
        <v>11</v>
      </c>
      <c r="C76" s="3">
        <v>78141</v>
      </c>
      <c r="D76" s="3">
        <v>6641569.5</v>
      </c>
      <c r="E76" s="4" cm="1">
        <f t="array" ref="E76">_xlfn.XLOOKUP(A76&amp;B76,Лист2!A:A&amp;Лист2!B:B,Лист2!C:C,0,0)</f>
        <v>31</v>
      </c>
      <c r="F76" s="4" cm="1">
        <f t="array" ref="F76">_xlfn.XLOOKUP(A76&amp;B76,Лист2!A:A&amp;Лист2!B:B,Лист2!D:D,0,0)</f>
        <v>5355</v>
      </c>
      <c r="G76" s="4" cm="1">
        <f t="array" ref="G76">_xlfn.XLOOKUP(A76&amp;B76,Лист2!A:A&amp;Лист2!B:B,Лист2!E:E,0,0)</f>
        <v>4969</v>
      </c>
      <c r="H76" s="27">
        <f t="shared" si="2"/>
        <v>2520.6999999999998</v>
      </c>
      <c r="I76">
        <f t="shared" si="3"/>
        <v>22</v>
      </c>
    </row>
    <row r="77" spans="1:9" ht="14.25" customHeight="1" x14ac:dyDescent="0.45">
      <c r="A77" s="9">
        <v>43976</v>
      </c>
      <c r="B77" s="5" t="s">
        <v>12</v>
      </c>
      <c r="C77" s="5">
        <v>12280.5</v>
      </c>
      <c r="D77" s="5">
        <v>1030440</v>
      </c>
      <c r="E77" s="4" cm="1">
        <f t="array" ref="E77">_xlfn.XLOOKUP(A77&amp;B77,Лист2!A:A&amp;Лист2!B:B,Лист2!C:C,0,0)</f>
        <v>10</v>
      </c>
      <c r="F77" s="4" cm="1">
        <f t="array" ref="F77">_xlfn.XLOOKUP(A77&amp;B77,Лист2!A:A&amp;Лист2!B:B,Лист2!D:D,0,0)</f>
        <v>739</v>
      </c>
      <c r="G77" s="4" cm="1">
        <f t="array" ref="G77">_xlfn.XLOOKUP(A77&amp;B77,Лист2!A:A&amp;Лист2!B:B,Лист2!E:E,0,0)</f>
        <v>642</v>
      </c>
      <c r="H77" s="27">
        <f t="shared" si="2"/>
        <v>1228.0999999999999</v>
      </c>
      <c r="I77">
        <f t="shared" si="3"/>
        <v>22</v>
      </c>
    </row>
    <row r="78" spans="1:9" ht="14.25" customHeight="1" x14ac:dyDescent="0.45">
      <c r="A78" s="8">
        <v>43951</v>
      </c>
      <c r="B78" s="3" t="s">
        <v>12</v>
      </c>
      <c r="C78" s="3">
        <v>8934</v>
      </c>
      <c r="D78" s="3">
        <v>716196</v>
      </c>
      <c r="E78" s="4" cm="1">
        <f t="array" ref="E78">_xlfn.XLOOKUP(A78&amp;B78,Лист2!A:A&amp;Лист2!B:B,Лист2!C:C,0,0)</f>
        <v>10</v>
      </c>
      <c r="F78" s="4" cm="1">
        <f t="array" ref="F78">_xlfn.XLOOKUP(A78&amp;B78,Лист2!A:A&amp;Лист2!B:B,Лист2!D:D,0,0)</f>
        <v>448</v>
      </c>
      <c r="G78" s="4" cm="1">
        <f t="array" ref="G78">_xlfn.XLOOKUP(A78&amp;B78,Лист2!A:A&amp;Лист2!B:B,Лист2!E:E,0,0)</f>
        <v>376</v>
      </c>
      <c r="H78" s="27">
        <f t="shared" si="2"/>
        <v>893.4</v>
      </c>
      <c r="I78">
        <f t="shared" si="3"/>
        <v>18</v>
      </c>
    </row>
    <row r="79" spans="1:9" ht="14.25" customHeight="1" x14ac:dyDescent="0.45">
      <c r="A79" s="9">
        <v>43961</v>
      </c>
      <c r="B79" s="5" t="s">
        <v>12</v>
      </c>
      <c r="C79" s="5">
        <v>12918</v>
      </c>
      <c r="D79" s="5">
        <v>1004788.5</v>
      </c>
      <c r="E79" s="4" cm="1">
        <f t="array" ref="E79">_xlfn.XLOOKUP(A79&amp;B79,Лист2!A:A&amp;Лист2!B:B,Лист2!C:C,0,0)</f>
        <v>10</v>
      </c>
      <c r="F79" s="4" cm="1">
        <f t="array" ref="F79">_xlfn.XLOOKUP(A79&amp;B79,Лист2!A:A&amp;Лист2!B:B,Лист2!D:D,0,0)</f>
        <v>642</v>
      </c>
      <c r="G79" s="4" cm="1">
        <f t="array" ref="G79">_xlfn.XLOOKUP(A79&amp;B79,Лист2!A:A&amp;Лист2!B:B,Лист2!E:E,0,0)</f>
        <v>556</v>
      </c>
      <c r="H79" s="27">
        <f t="shared" si="2"/>
        <v>1291.8</v>
      </c>
      <c r="I79">
        <f t="shared" si="3"/>
        <v>19</v>
      </c>
    </row>
    <row r="80" spans="1:9" ht="14.25" customHeight="1" x14ac:dyDescent="0.45">
      <c r="A80" s="8">
        <v>43959</v>
      </c>
      <c r="B80" s="3" t="s">
        <v>12</v>
      </c>
      <c r="C80" s="3">
        <v>12528</v>
      </c>
      <c r="D80" s="3">
        <v>959703</v>
      </c>
      <c r="E80" s="4" cm="1">
        <f t="array" ref="E80">_xlfn.XLOOKUP(A80&amp;B80,Лист2!A:A&amp;Лист2!B:B,Лист2!C:C,0,0)</f>
        <v>10</v>
      </c>
      <c r="F80" s="4" cm="1">
        <f t="array" ref="F80">_xlfn.XLOOKUP(A80&amp;B80,Лист2!A:A&amp;Лист2!B:B,Лист2!D:D,0,0)</f>
        <v>638</v>
      </c>
      <c r="G80" s="4" cm="1">
        <f t="array" ref="G80">_xlfn.XLOOKUP(A80&amp;B80,Лист2!A:A&amp;Лист2!B:B,Лист2!E:E,0,0)</f>
        <v>547</v>
      </c>
      <c r="H80" s="27">
        <f t="shared" si="2"/>
        <v>1252.8</v>
      </c>
      <c r="I80">
        <f t="shared" si="3"/>
        <v>19</v>
      </c>
    </row>
    <row r="81" spans="1:9" ht="14.25" customHeight="1" x14ac:dyDescent="0.45">
      <c r="A81" s="9">
        <v>43958</v>
      </c>
      <c r="B81" s="5" t="s">
        <v>12</v>
      </c>
      <c r="C81" s="5">
        <v>11029.5</v>
      </c>
      <c r="D81" s="5">
        <v>863754</v>
      </c>
      <c r="E81" s="4" cm="1">
        <f t="array" ref="E81">_xlfn.XLOOKUP(A81&amp;B81,Лист2!A:A&amp;Лист2!B:B,Лист2!C:C,0,0)</f>
        <v>10</v>
      </c>
      <c r="F81" s="4" cm="1">
        <f t="array" ref="F81">_xlfn.XLOOKUP(A81&amp;B81,Лист2!A:A&amp;Лист2!B:B,Лист2!D:D,0,0)</f>
        <v>563</v>
      </c>
      <c r="G81" s="4" cm="1">
        <f t="array" ref="G81">_xlfn.XLOOKUP(A81&amp;B81,Лист2!A:A&amp;Лист2!B:B,Лист2!E:E,0,0)</f>
        <v>486</v>
      </c>
      <c r="H81" s="27">
        <f t="shared" si="2"/>
        <v>1103</v>
      </c>
      <c r="I81">
        <f t="shared" si="3"/>
        <v>19</v>
      </c>
    </row>
    <row r="82" spans="1:9" ht="14.25" customHeight="1" x14ac:dyDescent="0.45">
      <c r="A82" s="8">
        <v>43975</v>
      </c>
      <c r="B82" s="3" t="s">
        <v>12</v>
      </c>
      <c r="C82" s="3">
        <v>9994.5</v>
      </c>
      <c r="D82" s="3">
        <v>828984</v>
      </c>
      <c r="E82" s="4" cm="1">
        <f t="array" ref="E82">_xlfn.XLOOKUP(A82&amp;B82,Лист2!A:A&amp;Лист2!B:B,Лист2!C:C,0,0)</f>
        <v>10</v>
      </c>
      <c r="F82" s="4" cm="1">
        <f t="array" ref="F82">_xlfn.XLOOKUP(A82&amp;B82,Лист2!A:A&amp;Лист2!B:B,Лист2!D:D,0,0)</f>
        <v>639</v>
      </c>
      <c r="G82" s="4" cm="1">
        <f t="array" ref="G82">_xlfn.XLOOKUP(A82&amp;B82,Лист2!A:A&amp;Лист2!B:B,Лист2!E:E,0,0)</f>
        <v>557</v>
      </c>
      <c r="H82" s="27">
        <f t="shared" si="2"/>
        <v>999.5</v>
      </c>
      <c r="I82">
        <f t="shared" si="3"/>
        <v>21</v>
      </c>
    </row>
    <row r="83" spans="1:9" ht="14.25" customHeight="1" x14ac:dyDescent="0.45">
      <c r="A83" s="9">
        <v>43982</v>
      </c>
      <c r="B83" s="5" t="s">
        <v>12</v>
      </c>
      <c r="C83" s="5">
        <v>12724.5</v>
      </c>
      <c r="D83" s="5">
        <v>1045515</v>
      </c>
      <c r="E83" s="4" cm="1">
        <f t="array" ref="E83">_xlfn.XLOOKUP(A83&amp;B83,Лист2!A:A&amp;Лист2!B:B,Лист2!C:C,0,0)</f>
        <v>10</v>
      </c>
      <c r="F83" s="4" cm="1">
        <f t="array" ref="F83">_xlfn.XLOOKUP(A83&amp;B83,Лист2!A:A&amp;Лист2!B:B,Лист2!D:D,0,0)</f>
        <v>749</v>
      </c>
      <c r="G83" s="4" cm="1">
        <f t="array" ref="G83">_xlfn.XLOOKUP(A83&amp;B83,Лист2!A:A&amp;Лист2!B:B,Лист2!E:E,0,0)</f>
        <v>655</v>
      </c>
      <c r="H83" s="27">
        <f t="shared" si="2"/>
        <v>1272.5</v>
      </c>
      <c r="I83">
        <f t="shared" si="3"/>
        <v>22</v>
      </c>
    </row>
    <row r="84" spans="1:9" ht="14.25" customHeight="1" x14ac:dyDescent="0.45">
      <c r="A84" s="8">
        <v>43981</v>
      </c>
      <c r="B84" s="3" t="s">
        <v>12</v>
      </c>
      <c r="C84" s="3">
        <v>14728.5</v>
      </c>
      <c r="D84" s="3">
        <v>1260483</v>
      </c>
      <c r="E84" s="4" cm="1">
        <f t="array" ref="E84">_xlfn.XLOOKUP(A84&amp;B84,Лист2!A:A&amp;Лист2!B:B,Лист2!C:C,0,0)</f>
        <v>10</v>
      </c>
      <c r="F84" s="4" cm="1">
        <f t="array" ref="F84">_xlfn.XLOOKUP(A84&amp;B84,Лист2!A:A&amp;Лист2!B:B,Лист2!D:D,0,0)</f>
        <v>865</v>
      </c>
      <c r="G84" s="4" cm="1">
        <f t="array" ref="G84">_xlfn.XLOOKUP(A84&amp;B84,Лист2!A:A&amp;Лист2!B:B,Лист2!E:E,0,0)</f>
        <v>763</v>
      </c>
      <c r="H84" s="27">
        <f t="shared" si="2"/>
        <v>1472.9</v>
      </c>
      <c r="I84">
        <f t="shared" si="3"/>
        <v>22</v>
      </c>
    </row>
    <row r="85" spans="1:9" ht="14.25" customHeight="1" x14ac:dyDescent="0.45">
      <c r="A85" s="9">
        <v>43979</v>
      </c>
      <c r="B85" s="5" t="s">
        <v>12</v>
      </c>
      <c r="C85" s="5">
        <v>13038</v>
      </c>
      <c r="D85" s="5">
        <v>1114552.5</v>
      </c>
      <c r="E85" s="4" cm="1">
        <f t="array" ref="E85">_xlfn.XLOOKUP(A85&amp;B85,Лист2!A:A&amp;Лист2!B:B,Лист2!C:C,0,0)</f>
        <v>10</v>
      </c>
      <c r="F85" s="4" cm="1">
        <f t="array" ref="F85">_xlfn.XLOOKUP(A85&amp;B85,Лист2!A:A&amp;Лист2!B:B,Лист2!D:D,0,0)</f>
        <v>791</v>
      </c>
      <c r="G85" s="4" cm="1">
        <f t="array" ref="G85">_xlfn.XLOOKUP(A85&amp;B85,Лист2!A:A&amp;Лист2!B:B,Лист2!E:E,0,0)</f>
        <v>697</v>
      </c>
      <c r="H85" s="27">
        <f t="shared" si="2"/>
        <v>1303.8</v>
      </c>
      <c r="I85">
        <f t="shared" si="3"/>
        <v>22</v>
      </c>
    </row>
    <row r="86" spans="1:9" ht="14.25" customHeight="1" x14ac:dyDescent="0.45">
      <c r="A86" s="8">
        <v>43967</v>
      </c>
      <c r="B86" s="3" t="s">
        <v>13</v>
      </c>
      <c r="C86" s="3">
        <v>35482.5</v>
      </c>
      <c r="D86" s="3">
        <v>3222517.5</v>
      </c>
      <c r="E86" s="4" cm="1">
        <f t="array" ref="E86">_xlfn.XLOOKUP(A86&amp;B86,Лист2!A:A&amp;Лист2!B:B,Лист2!C:C,0,0)</f>
        <v>19</v>
      </c>
      <c r="F86" s="4" cm="1">
        <f t="array" ref="F86">_xlfn.XLOOKUP(A86&amp;B86,Лист2!A:A&amp;Лист2!B:B,Лист2!D:D,0,0)</f>
        <v>2080</v>
      </c>
      <c r="G86" s="4" cm="1">
        <f t="array" ref="G86">_xlfn.XLOOKUP(A86&amp;B86,Лист2!A:A&amp;Лист2!B:B,Лист2!E:E,0,0)</f>
        <v>1844</v>
      </c>
      <c r="H86" s="27">
        <f t="shared" si="2"/>
        <v>1867.5</v>
      </c>
      <c r="I86">
        <f t="shared" si="3"/>
        <v>20</v>
      </c>
    </row>
    <row r="87" spans="1:9" ht="14.25" customHeight="1" x14ac:dyDescent="0.45">
      <c r="A87" s="9">
        <v>43970</v>
      </c>
      <c r="B87" s="5" t="s">
        <v>13</v>
      </c>
      <c r="C87" s="5">
        <v>32434.5</v>
      </c>
      <c r="D87" s="5">
        <v>2865337.5</v>
      </c>
      <c r="E87" s="4" cm="1">
        <f t="array" ref="E87">_xlfn.XLOOKUP(A87&amp;B87,Лист2!A:A&amp;Лист2!B:B,Лист2!C:C,0,0)</f>
        <v>19</v>
      </c>
      <c r="F87" s="4" cm="1">
        <f t="array" ref="F87">_xlfn.XLOOKUP(A87&amp;B87,Лист2!A:A&amp;Лист2!B:B,Лист2!D:D,0,0)</f>
        <v>1999</v>
      </c>
      <c r="G87" s="4" cm="1">
        <f t="array" ref="G87">_xlfn.XLOOKUP(A87&amp;B87,Лист2!A:A&amp;Лист2!B:B,Лист2!E:E,0,0)</f>
        <v>1799</v>
      </c>
      <c r="H87" s="27">
        <f t="shared" si="2"/>
        <v>1707.1</v>
      </c>
      <c r="I87">
        <f t="shared" si="3"/>
        <v>21</v>
      </c>
    </row>
    <row r="88" spans="1:9" ht="14.25" customHeight="1" x14ac:dyDescent="0.45">
      <c r="A88" s="8">
        <v>43968</v>
      </c>
      <c r="B88" s="3" t="s">
        <v>13</v>
      </c>
      <c r="C88" s="3">
        <v>30486</v>
      </c>
      <c r="D88" s="3">
        <v>2694289.5</v>
      </c>
      <c r="E88" s="4" cm="1">
        <f t="array" ref="E88">_xlfn.XLOOKUP(A88&amp;B88,Лист2!A:A&amp;Лист2!B:B,Лист2!C:C,0,0)</f>
        <v>19</v>
      </c>
      <c r="F88" s="4" cm="1">
        <f t="array" ref="F88">_xlfn.XLOOKUP(A88&amp;B88,Лист2!A:A&amp;Лист2!B:B,Лист2!D:D,0,0)</f>
        <v>1871</v>
      </c>
      <c r="G88" s="4" cm="1">
        <f t="array" ref="G88">_xlfn.XLOOKUP(A88&amp;B88,Лист2!A:A&amp;Лист2!B:B,Лист2!E:E,0,0)</f>
        <v>1660</v>
      </c>
      <c r="H88" s="27">
        <f t="shared" si="2"/>
        <v>1604.5</v>
      </c>
      <c r="I88">
        <f t="shared" si="3"/>
        <v>20</v>
      </c>
    </row>
    <row r="89" spans="1:9" ht="14.25" customHeight="1" x14ac:dyDescent="0.45">
      <c r="A89" s="9">
        <v>43960</v>
      </c>
      <c r="B89" s="5" t="s">
        <v>13</v>
      </c>
      <c r="C89" s="5">
        <v>32079</v>
      </c>
      <c r="D89" s="5">
        <v>2902167</v>
      </c>
      <c r="E89" s="4" cm="1">
        <f t="array" ref="E89">_xlfn.XLOOKUP(A89&amp;B89,Лист2!A:A&amp;Лист2!B:B,Лист2!C:C,0,0)</f>
        <v>19</v>
      </c>
      <c r="F89" s="4" cm="1">
        <f t="array" ref="F89">_xlfn.XLOOKUP(A89&amp;B89,Лист2!A:A&amp;Лист2!B:B,Лист2!D:D,0,0)</f>
        <v>1851</v>
      </c>
      <c r="G89" s="4" cm="1">
        <f t="array" ref="G89">_xlfn.XLOOKUP(A89&amp;B89,Лист2!A:A&amp;Лист2!B:B,Лист2!E:E,0,0)</f>
        <v>1635</v>
      </c>
      <c r="H89" s="27">
        <f t="shared" si="2"/>
        <v>1688.4</v>
      </c>
      <c r="I89">
        <f t="shared" si="3"/>
        <v>19</v>
      </c>
    </row>
    <row r="90" spans="1:9" ht="14.25" customHeight="1" x14ac:dyDescent="0.45">
      <c r="A90" s="8">
        <v>43955</v>
      </c>
      <c r="B90" s="3" t="s">
        <v>13</v>
      </c>
      <c r="C90" s="3">
        <v>27072</v>
      </c>
      <c r="D90" s="3">
        <v>2450968.5</v>
      </c>
      <c r="E90" s="4" cm="1">
        <f t="array" ref="E90">_xlfn.XLOOKUP(A90&amp;B90,Лист2!A:A&amp;Лист2!B:B,Лист2!C:C,0,0)</f>
        <v>19</v>
      </c>
      <c r="F90" s="4" cm="1">
        <f t="array" ref="F90">_xlfn.XLOOKUP(A90&amp;B90,Лист2!A:A&amp;Лист2!B:B,Лист2!D:D,0,0)</f>
        <v>1582</v>
      </c>
      <c r="G90" s="4" cm="1">
        <f t="array" ref="G90">_xlfn.XLOOKUP(A90&amp;B90,Лист2!A:A&amp;Лист2!B:B,Лист2!E:E,0,0)</f>
        <v>1403</v>
      </c>
      <c r="H90" s="27">
        <f t="shared" si="2"/>
        <v>1424.8</v>
      </c>
      <c r="I90">
        <f t="shared" si="3"/>
        <v>19</v>
      </c>
    </row>
    <row r="91" spans="1:9" ht="14.25" customHeight="1" x14ac:dyDescent="0.45">
      <c r="A91" s="9">
        <v>43950</v>
      </c>
      <c r="B91" s="5" t="s">
        <v>13</v>
      </c>
      <c r="C91" s="5">
        <v>25917</v>
      </c>
      <c r="D91" s="5">
        <v>2397588</v>
      </c>
      <c r="E91" s="4" cm="1">
        <f t="array" ref="E91">_xlfn.XLOOKUP(A91&amp;B91,Лист2!A:A&amp;Лист2!B:B,Лист2!C:C,0,0)</f>
        <v>18</v>
      </c>
      <c r="F91" s="4" cm="1">
        <f t="array" ref="F91">_xlfn.XLOOKUP(A91&amp;B91,Лист2!A:A&amp;Лист2!B:B,Лист2!D:D,0,0)</f>
        <v>1534</v>
      </c>
      <c r="G91" s="4" cm="1">
        <f t="array" ref="G91">_xlfn.XLOOKUP(A91&amp;B91,Лист2!A:A&amp;Лист2!B:B,Лист2!E:E,0,0)</f>
        <v>1369</v>
      </c>
      <c r="H91" s="27">
        <f t="shared" si="2"/>
        <v>1439.8</v>
      </c>
      <c r="I91">
        <f t="shared" si="3"/>
        <v>18</v>
      </c>
    </row>
    <row r="92" spans="1:9" ht="14.25" customHeight="1" x14ac:dyDescent="0.45">
      <c r="A92" s="8">
        <v>43953</v>
      </c>
      <c r="B92" s="3" t="s">
        <v>13</v>
      </c>
      <c r="C92" s="3">
        <v>19461</v>
      </c>
      <c r="D92" s="3">
        <v>1799230.5</v>
      </c>
      <c r="E92" s="4" cm="1">
        <f t="array" ref="E92">_xlfn.XLOOKUP(A92&amp;B92,Лист2!A:A&amp;Лист2!B:B,Лист2!C:C,0,0)</f>
        <v>19</v>
      </c>
      <c r="F92" s="4" cm="1">
        <f t="array" ref="F92">_xlfn.XLOOKUP(A92&amp;B92,Лист2!A:A&amp;Лист2!B:B,Лист2!D:D,0,0)</f>
        <v>1217</v>
      </c>
      <c r="G92" s="4" cm="1">
        <f t="array" ref="G92">_xlfn.XLOOKUP(A92&amp;B92,Лист2!A:A&amp;Лист2!B:B,Лист2!E:E,0,0)</f>
        <v>1048</v>
      </c>
      <c r="H92" s="27">
        <f t="shared" si="2"/>
        <v>1024.3</v>
      </c>
      <c r="I92">
        <f t="shared" si="3"/>
        <v>18</v>
      </c>
    </row>
    <row r="93" spans="1:9" ht="14.25" customHeight="1" x14ac:dyDescent="0.45">
      <c r="A93" s="9">
        <v>43977</v>
      </c>
      <c r="B93" s="5" t="s">
        <v>13</v>
      </c>
      <c r="C93" s="5">
        <v>31407</v>
      </c>
      <c r="D93" s="5">
        <v>2907411</v>
      </c>
      <c r="E93" s="4" cm="1">
        <f t="array" ref="E93">_xlfn.XLOOKUP(A93&amp;B93,Лист2!A:A&amp;Лист2!B:B,Лист2!C:C,0,0)</f>
        <v>20</v>
      </c>
      <c r="F93" s="4" cm="1">
        <f t="array" ref="F93">_xlfn.XLOOKUP(A93&amp;B93,Лист2!A:A&amp;Лист2!B:B,Лист2!D:D,0,0)</f>
        <v>2036</v>
      </c>
      <c r="G93" s="4" cm="1">
        <f t="array" ref="G93">_xlfn.XLOOKUP(A93&amp;B93,Лист2!A:A&amp;Лист2!B:B,Лист2!E:E,0,0)</f>
        <v>1790</v>
      </c>
      <c r="H93" s="27">
        <f t="shared" si="2"/>
        <v>1570.4</v>
      </c>
      <c r="I93">
        <f t="shared" si="3"/>
        <v>22</v>
      </c>
    </row>
    <row r="94" spans="1:9" ht="14.25" customHeight="1" x14ac:dyDescent="0.45">
      <c r="A94" s="8">
        <v>43952</v>
      </c>
      <c r="B94" s="3" t="s">
        <v>13</v>
      </c>
      <c r="C94" s="3">
        <v>25792.5</v>
      </c>
      <c r="D94" s="3">
        <v>2374356</v>
      </c>
      <c r="E94" s="4" cm="1">
        <f t="array" ref="E94">_xlfn.XLOOKUP(A94&amp;B94,Лист2!A:A&amp;Лист2!B:B,Лист2!C:C,0,0)</f>
        <v>19</v>
      </c>
      <c r="F94" s="4" cm="1">
        <f t="array" ref="F94">_xlfn.XLOOKUP(A94&amp;B94,Лист2!A:A&amp;Лист2!B:B,Лист2!D:D,0,0)</f>
        <v>1497</v>
      </c>
      <c r="G94" s="4" cm="1">
        <f t="array" ref="G94">_xlfn.XLOOKUP(A94&amp;B94,Лист2!A:A&amp;Лист2!B:B,Лист2!E:E,0,0)</f>
        <v>1291</v>
      </c>
      <c r="H94" s="27">
        <f t="shared" si="2"/>
        <v>1357.5</v>
      </c>
      <c r="I94">
        <f t="shared" si="3"/>
        <v>18</v>
      </c>
    </row>
    <row r="95" spans="1:9" ht="14.25" customHeight="1" x14ac:dyDescent="0.45">
      <c r="A95" s="9">
        <v>43963</v>
      </c>
      <c r="B95" s="5" t="s">
        <v>13</v>
      </c>
      <c r="C95" s="5">
        <v>26032.5</v>
      </c>
      <c r="D95" s="5">
        <v>2370432</v>
      </c>
      <c r="E95" s="4" cm="1">
        <f t="array" ref="E95">_xlfn.XLOOKUP(A95&amp;B95,Лист2!A:A&amp;Лист2!B:B,Лист2!C:C,0,0)</f>
        <v>19</v>
      </c>
      <c r="F95" s="4" cm="1">
        <f t="array" ref="F95">_xlfn.XLOOKUP(A95&amp;B95,Лист2!A:A&amp;Лист2!B:B,Лист2!D:D,0,0)</f>
        <v>1649</v>
      </c>
      <c r="G95" s="4" cm="1">
        <f t="array" ref="G95">_xlfn.XLOOKUP(A95&amp;B95,Лист2!A:A&amp;Лист2!B:B,Лист2!E:E,0,0)</f>
        <v>1460</v>
      </c>
      <c r="H95" s="27">
        <f t="shared" si="2"/>
        <v>1370.1</v>
      </c>
      <c r="I95">
        <f t="shared" si="3"/>
        <v>20</v>
      </c>
    </row>
    <row r="96" spans="1:9" ht="14.25" customHeight="1" x14ac:dyDescent="0.45">
      <c r="A96" s="8">
        <v>43972</v>
      </c>
      <c r="B96" s="3" t="s">
        <v>13</v>
      </c>
      <c r="C96" s="3">
        <v>31707</v>
      </c>
      <c r="D96" s="3">
        <v>2853181.5</v>
      </c>
      <c r="E96" s="4" cm="1">
        <f t="array" ref="E96">_xlfn.XLOOKUP(A96&amp;B96,Лист2!A:A&amp;Лист2!B:B,Лист2!C:C,0,0)</f>
        <v>19</v>
      </c>
      <c r="F96" s="4" cm="1">
        <f t="array" ref="F96">_xlfn.XLOOKUP(A96&amp;B96,Лист2!A:A&amp;Лист2!B:B,Лист2!D:D,0,0)</f>
        <v>1949</v>
      </c>
      <c r="G96" s="4" cm="1">
        <f t="array" ref="G96">_xlfn.XLOOKUP(A96&amp;B96,Лист2!A:A&amp;Лист2!B:B,Лист2!E:E,0,0)</f>
        <v>1724</v>
      </c>
      <c r="H96" s="27">
        <f t="shared" si="2"/>
        <v>1668.8</v>
      </c>
      <c r="I96">
        <f t="shared" si="3"/>
        <v>21</v>
      </c>
    </row>
    <row r="97" spans="1:9" ht="14.25" customHeight="1" x14ac:dyDescent="0.45">
      <c r="A97" s="9">
        <v>43971</v>
      </c>
      <c r="B97" s="5" t="s">
        <v>13</v>
      </c>
      <c r="C97" s="5">
        <v>29955</v>
      </c>
      <c r="D97" s="5">
        <v>2692230</v>
      </c>
      <c r="E97" s="4" cm="1">
        <f t="array" ref="E97">_xlfn.XLOOKUP(A97&amp;B97,Лист2!A:A&amp;Лист2!B:B,Лист2!C:C,0,0)</f>
        <v>19</v>
      </c>
      <c r="F97" s="4" cm="1">
        <f t="array" ref="F97">_xlfn.XLOOKUP(A97&amp;B97,Лист2!A:A&amp;Лист2!B:B,Лист2!D:D,0,0)</f>
        <v>1889</v>
      </c>
      <c r="G97" s="4" cm="1">
        <f t="array" ref="G97">_xlfn.XLOOKUP(A97&amp;B97,Лист2!A:A&amp;Лист2!B:B,Лист2!E:E,0,0)</f>
        <v>1690</v>
      </c>
      <c r="H97" s="27">
        <f t="shared" si="2"/>
        <v>1576.6</v>
      </c>
      <c r="I97">
        <f t="shared" si="3"/>
        <v>21</v>
      </c>
    </row>
    <row r="98" spans="1:9" ht="14.25" customHeight="1" x14ac:dyDescent="0.45">
      <c r="A98" s="8">
        <v>43956</v>
      </c>
      <c r="B98" s="3" t="s">
        <v>13</v>
      </c>
      <c r="C98" s="3">
        <v>22848</v>
      </c>
      <c r="D98" s="3">
        <v>2079900</v>
      </c>
      <c r="E98" s="4" cm="1">
        <f t="array" ref="E98">_xlfn.XLOOKUP(A98&amp;B98,Лист2!A:A&amp;Лист2!B:B,Лист2!C:C,0,0)</f>
        <v>19</v>
      </c>
      <c r="F98" s="4" cm="1">
        <f t="array" ref="F98">_xlfn.XLOOKUP(A98&amp;B98,Лист2!A:A&amp;Лист2!B:B,Лист2!D:D,0,0)</f>
        <v>1417</v>
      </c>
      <c r="G98" s="4" cm="1">
        <f t="array" ref="G98">_xlfn.XLOOKUP(A98&amp;B98,Лист2!A:A&amp;Лист2!B:B,Лист2!E:E,0,0)</f>
        <v>1245</v>
      </c>
      <c r="H98" s="27">
        <f t="shared" si="2"/>
        <v>1202.5</v>
      </c>
      <c r="I98">
        <f t="shared" si="3"/>
        <v>19</v>
      </c>
    </row>
    <row r="99" spans="1:9" ht="14.25" customHeight="1" x14ac:dyDescent="0.45">
      <c r="A99" s="9">
        <v>43949</v>
      </c>
      <c r="B99" s="5" t="s">
        <v>13</v>
      </c>
      <c r="C99" s="5">
        <v>23314.5</v>
      </c>
      <c r="D99" s="5">
        <v>2136817.5</v>
      </c>
      <c r="E99" s="4" cm="1">
        <f t="array" ref="E99">_xlfn.XLOOKUP(A99&amp;B99,Лист2!A:A&amp;Лист2!B:B,Лист2!C:C,0,0)</f>
        <v>17</v>
      </c>
      <c r="F99" s="4" cm="1">
        <f t="array" ref="F99">_xlfn.XLOOKUP(A99&amp;B99,Лист2!A:A&amp;Лист2!B:B,Лист2!D:D,0,0)</f>
        <v>1439</v>
      </c>
      <c r="G99" s="4" cm="1">
        <f t="array" ref="G99">_xlfn.XLOOKUP(A99&amp;B99,Лист2!A:A&amp;Лист2!B:B,Лист2!E:E,0,0)</f>
        <v>1265</v>
      </c>
      <c r="H99" s="27">
        <f t="shared" si="2"/>
        <v>1371.4</v>
      </c>
      <c r="I99">
        <f t="shared" si="3"/>
        <v>18</v>
      </c>
    </row>
    <row r="100" spans="1:9" ht="14.25" customHeight="1" x14ac:dyDescent="0.45">
      <c r="A100" s="8">
        <v>43964</v>
      </c>
      <c r="B100" s="3" t="s">
        <v>13</v>
      </c>
      <c r="C100" s="3">
        <v>26464.5</v>
      </c>
      <c r="D100" s="3">
        <v>2373337.5</v>
      </c>
      <c r="E100" s="4" cm="1">
        <f t="array" ref="E100">_xlfn.XLOOKUP(A100&amp;B100,Лист2!A:A&amp;Лист2!B:B,Лист2!C:C,0,0)</f>
        <v>19</v>
      </c>
      <c r="F100" s="4" cm="1">
        <f t="array" ref="F100">_xlfn.XLOOKUP(A100&amp;B100,Лист2!A:A&amp;Лист2!B:B,Лист2!D:D,0,0)</f>
        <v>1625</v>
      </c>
      <c r="G100" s="4" cm="1">
        <f t="array" ref="G100">_xlfn.XLOOKUP(A100&amp;B100,Лист2!A:A&amp;Лист2!B:B,Лист2!E:E,0,0)</f>
        <v>1444</v>
      </c>
      <c r="H100" s="27">
        <f t="shared" si="2"/>
        <v>1392.9</v>
      </c>
      <c r="I100">
        <f t="shared" si="3"/>
        <v>20</v>
      </c>
    </row>
    <row r="101" spans="1:9" ht="14.25" customHeight="1" x14ac:dyDescent="0.45">
      <c r="A101" s="9">
        <v>43954</v>
      </c>
      <c r="B101" s="5" t="s">
        <v>13</v>
      </c>
      <c r="C101" s="5">
        <v>23539.5</v>
      </c>
      <c r="D101" s="5">
        <v>2170309.5</v>
      </c>
      <c r="E101" s="4" cm="1">
        <f t="array" ref="E101">_xlfn.XLOOKUP(A101&amp;B101,Лист2!A:A&amp;Лист2!B:B,Лист2!C:C,0,0)</f>
        <v>19</v>
      </c>
      <c r="F101" s="4" cm="1">
        <f t="array" ref="F101">_xlfn.XLOOKUP(A101&amp;B101,Лист2!A:A&amp;Лист2!B:B,Лист2!D:D,0,0)</f>
        <v>1402</v>
      </c>
      <c r="G101" s="4" cm="1">
        <f t="array" ref="G101">_xlfn.XLOOKUP(A101&amp;B101,Лист2!A:A&amp;Лист2!B:B,Лист2!E:E,0,0)</f>
        <v>1234</v>
      </c>
      <c r="H101" s="27">
        <f t="shared" si="2"/>
        <v>1238.9000000000001</v>
      </c>
      <c r="I101">
        <f t="shared" si="3"/>
        <v>18</v>
      </c>
    </row>
    <row r="102" spans="1:9" ht="14.25" customHeight="1" x14ac:dyDescent="0.45">
      <c r="A102" s="8">
        <v>43957</v>
      </c>
      <c r="B102" s="3" t="s">
        <v>13</v>
      </c>
      <c r="C102" s="3">
        <v>24678</v>
      </c>
      <c r="D102" s="3">
        <v>2232519</v>
      </c>
      <c r="E102" s="4" cm="1">
        <f t="array" ref="E102">_xlfn.XLOOKUP(A102&amp;B102,Лист2!A:A&amp;Лист2!B:B,Лист2!C:C,0,0)</f>
        <v>19</v>
      </c>
      <c r="F102" s="4" cm="1">
        <f t="array" ref="F102">_xlfn.XLOOKUP(A102&amp;B102,Лист2!A:A&amp;Лист2!B:B,Лист2!D:D,0,0)</f>
        <v>1499</v>
      </c>
      <c r="G102" s="4" cm="1">
        <f t="array" ref="G102">_xlfn.XLOOKUP(A102&amp;B102,Лист2!A:A&amp;Лист2!B:B,Лист2!E:E,0,0)</f>
        <v>1323</v>
      </c>
      <c r="H102" s="27">
        <f t="shared" si="2"/>
        <v>1298.8</v>
      </c>
      <c r="I102">
        <f t="shared" si="3"/>
        <v>19</v>
      </c>
    </row>
    <row r="103" spans="1:9" ht="14.25" customHeight="1" x14ac:dyDescent="0.45">
      <c r="A103" s="9">
        <v>43974</v>
      </c>
      <c r="B103" s="5" t="s">
        <v>13</v>
      </c>
      <c r="C103" s="5">
        <v>38176.5</v>
      </c>
      <c r="D103" s="5">
        <v>3385372.5</v>
      </c>
      <c r="E103" s="4" cm="1">
        <f t="array" ref="E103">_xlfn.XLOOKUP(A103&amp;B103,Лист2!A:A&amp;Лист2!B:B,Лист2!C:C,0,0)</f>
        <v>20</v>
      </c>
      <c r="F103" s="4" cm="1">
        <f t="array" ref="F103">_xlfn.XLOOKUP(A103&amp;B103,Лист2!A:A&amp;Лист2!B:B,Лист2!D:D,0,0)</f>
        <v>2266</v>
      </c>
      <c r="G103" s="4" cm="1">
        <f t="array" ref="G103">_xlfn.XLOOKUP(A103&amp;B103,Лист2!A:A&amp;Лист2!B:B,Лист2!E:E,0,0)</f>
        <v>1993</v>
      </c>
      <c r="H103" s="27">
        <f t="shared" si="2"/>
        <v>1908.8</v>
      </c>
      <c r="I103">
        <f t="shared" si="3"/>
        <v>21</v>
      </c>
    </row>
    <row r="104" spans="1:9" ht="14.25" customHeight="1" x14ac:dyDescent="0.45">
      <c r="A104" s="8">
        <v>43976</v>
      </c>
      <c r="B104" s="3" t="s">
        <v>13</v>
      </c>
      <c r="C104" s="3">
        <v>30603</v>
      </c>
      <c r="D104" s="3">
        <v>2865727.5</v>
      </c>
      <c r="E104" s="4" cm="1">
        <f t="array" ref="E104">_xlfn.XLOOKUP(A104&amp;B104,Лист2!A:A&amp;Лист2!B:B,Лист2!C:C,0,0)</f>
        <v>20</v>
      </c>
      <c r="F104" s="4" cm="1">
        <f t="array" ref="F104">_xlfn.XLOOKUP(A104&amp;B104,Лист2!A:A&amp;Лист2!B:B,Лист2!D:D,0,0)</f>
        <v>2011</v>
      </c>
      <c r="G104" s="4" cm="1">
        <f t="array" ref="G104">_xlfn.XLOOKUP(A104&amp;B104,Лист2!A:A&amp;Лист2!B:B,Лист2!E:E,0,0)</f>
        <v>1791</v>
      </c>
      <c r="H104" s="27">
        <f t="shared" si="2"/>
        <v>1530.2</v>
      </c>
      <c r="I104">
        <f t="shared" si="3"/>
        <v>22</v>
      </c>
    </row>
    <row r="105" spans="1:9" ht="14.25" customHeight="1" x14ac:dyDescent="0.45">
      <c r="A105" s="9">
        <v>43951</v>
      </c>
      <c r="B105" s="5" t="s">
        <v>13</v>
      </c>
      <c r="C105" s="5">
        <v>24211.5</v>
      </c>
      <c r="D105" s="5">
        <v>2267664</v>
      </c>
      <c r="E105" s="4" cm="1">
        <f t="array" ref="E105">_xlfn.XLOOKUP(A105&amp;B105,Лист2!A:A&amp;Лист2!B:B,Лист2!C:C,0,0)</f>
        <v>19</v>
      </c>
      <c r="F105" s="4" cm="1">
        <f t="array" ref="F105">_xlfn.XLOOKUP(A105&amp;B105,Лист2!A:A&amp;Лист2!B:B,Лист2!D:D,0,0)</f>
        <v>1499</v>
      </c>
      <c r="G105" s="4" cm="1">
        <f t="array" ref="G105">_xlfn.XLOOKUP(A105&amp;B105,Лист2!A:A&amp;Лист2!B:B,Лист2!E:E,0,0)</f>
        <v>1322</v>
      </c>
      <c r="H105" s="27">
        <f t="shared" si="2"/>
        <v>1274.3</v>
      </c>
      <c r="I105">
        <f t="shared" si="3"/>
        <v>18</v>
      </c>
    </row>
    <row r="106" spans="1:9" ht="14.25" customHeight="1" x14ac:dyDescent="0.45">
      <c r="A106" s="8">
        <v>43961</v>
      </c>
      <c r="B106" s="3" t="s">
        <v>13</v>
      </c>
      <c r="C106" s="3">
        <v>31399.5</v>
      </c>
      <c r="D106" s="3">
        <v>2862298.5</v>
      </c>
      <c r="E106" s="4" cm="1">
        <f t="array" ref="E106">_xlfn.XLOOKUP(A106&amp;B106,Лист2!A:A&amp;Лист2!B:B,Лист2!C:C,0,0)</f>
        <v>19</v>
      </c>
      <c r="F106" s="4" cm="1">
        <f t="array" ref="F106">_xlfn.XLOOKUP(A106&amp;B106,Лист2!A:A&amp;Лист2!B:B,Лист2!D:D,0,0)</f>
        <v>1848</v>
      </c>
      <c r="G106" s="4" cm="1">
        <f t="array" ref="G106">_xlfn.XLOOKUP(A106&amp;B106,Лист2!A:A&amp;Лист2!B:B,Лист2!E:E,0,0)</f>
        <v>1649</v>
      </c>
      <c r="H106" s="27">
        <f t="shared" si="2"/>
        <v>1652.6</v>
      </c>
      <c r="I106">
        <f t="shared" si="3"/>
        <v>19</v>
      </c>
    </row>
    <row r="107" spans="1:9" ht="14.25" customHeight="1" x14ac:dyDescent="0.45">
      <c r="A107" s="9">
        <v>43959</v>
      </c>
      <c r="B107" s="5" t="s">
        <v>13</v>
      </c>
      <c r="C107" s="5">
        <v>25294.5</v>
      </c>
      <c r="D107" s="5">
        <v>2271454.5</v>
      </c>
      <c r="E107" s="4" cm="1">
        <f t="array" ref="E107">_xlfn.XLOOKUP(A107&amp;B107,Лист2!A:A&amp;Лист2!B:B,Лист2!C:C,0,0)</f>
        <v>19</v>
      </c>
      <c r="F107" s="4" cm="1">
        <f t="array" ref="F107">_xlfn.XLOOKUP(A107&amp;B107,Лист2!A:A&amp;Лист2!B:B,Лист2!D:D,0,0)</f>
        <v>1522</v>
      </c>
      <c r="G107" s="4" cm="1">
        <f t="array" ref="G107">_xlfn.XLOOKUP(A107&amp;B107,Лист2!A:A&amp;Лист2!B:B,Лист2!E:E,0,0)</f>
        <v>1340</v>
      </c>
      <c r="H107" s="27">
        <f t="shared" si="2"/>
        <v>1331.3</v>
      </c>
      <c r="I107">
        <f t="shared" si="3"/>
        <v>19</v>
      </c>
    </row>
    <row r="108" spans="1:9" ht="14.25" customHeight="1" x14ac:dyDescent="0.45">
      <c r="A108" s="8">
        <v>43958</v>
      </c>
      <c r="B108" s="3" t="s">
        <v>13</v>
      </c>
      <c r="C108" s="3">
        <v>25468.5</v>
      </c>
      <c r="D108" s="3">
        <v>2350672.5</v>
      </c>
      <c r="E108" s="4" cm="1">
        <f t="array" ref="E108">_xlfn.XLOOKUP(A108&amp;B108,Лист2!A:A&amp;Лист2!B:B,Лист2!C:C,0,0)</f>
        <v>19</v>
      </c>
      <c r="F108" s="4" cm="1">
        <f t="array" ref="F108">_xlfn.XLOOKUP(A108&amp;B108,Лист2!A:A&amp;Лист2!B:B,Лист2!D:D,0,0)</f>
        <v>1530</v>
      </c>
      <c r="G108" s="4" cm="1">
        <f t="array" ref="G108">_xlfn.XLOOKUP(A108&amp;B108,Лист2!A:A&amp;Лист2!B:B,Лист2!E:E,0,0)</f>
        <v>1338</v>
      </c>
      <c r="H108" s="27">
        <f t="shared" si="2"/>
        <v>1340.4</v>
      </c>
      <c r="I108">
        <f t="shared" si="3"/>
        <v>19</v>
      </c>
    </row>
    <row r="109" spans="1:9" ht="14.25" customHeight="1" x14ac:dyDescent="0.45">
      <c r="A109" s="9">
        <v>43975</v>
      </c>
      <c r="B109" s="5" t="s">
        <v>13</v>
      </c>
      <c r="C109" s="5">
        <v>31854</v>
      </c>
      <c r="D109" s="5">
        <v>2915533.5</v>
      </c>
      <c r="E109" s="4" cm="1">
        <f t="array" ref="E109">_xlfn.XLOOKUP(A109&amp;B109,Лист2!A:A&amp;Лист2!B:B,Лист2!C:C,0,0)</f>
        <v>20</v>
      </c>
      <c r="F109" s="4" cm="1">
        <f t="array" ref="F109">_xlfn.XLOOKUP(A109&amp;B109,Лист2!A:A&amp;Лист2!B:B,Лист2!D:D,0,0)</f>
        <v>2015</v>
      </c>
      <c r="G109" s="4" cm="1">
        <f t="array" ref="G109">_xlfn.XLOOKUP(A109&amp;B109,Лист2!A:A&amp;Лист2!B:B,Лист2!E:E,0,0)</f>
        <v>1803</v>
      </c>
      <c r="H109" s="27">
        <f t="shared" si="2"/>
        <v>1592.7</v>
      </c>
      <c r="I109">
        <f t="shared" si="3"/>
        <v>21</v>
      </c>
    </row>
    <row r="110" spans="1:9" ht="14.25" customHeight="1" x14ac:dyDescent="0.45">
      <c r="A110" s="8">
        <v>43982</v>
      </c>
      <c r="B110" s="3" t="s">
        <v>13</v>
      </c>
      <c r="C110" s="3">
        <v>32359.5</v>
      </c>
      <c r="D110" s="3">
        <v>2991999</v>
      </c>
      <c r="E110" s="4" cm="1">
        <f t="array" ref="E110">_xlfn.XLOOKUP(A110&amp;B110,Лист2!A:A&amp;Лист2!B:B,Лист2!C:C,0,0)</f>
        <v>20</v>
      </c>
      <c r="F110" s="4" cm="1">
        <f t="array" ref="F110">_xlfn.XLOOKUP(A110&amp;B110,Лист2!A:A&amp;Лист2!B:B,Лист2!D:D,0,0)</f>
        <v>2060</v>
      </c>
      <c r="G110" s="4" cm="1">
        <f t="array" ref="G110">_xlfn.XLOOKUP(A110&amp;B110,Лист2!A:A&amp;Лист2!B:B,Лист2!E:E,0,0)</f>
        <v>1826</v>
      </c>
      <c r="H110" s="27">
        <f t="shared" si="2"/>
        <v>1618</v>
      </c>
      <c r="I110">
        <f t="shared" si="3"/>
        <v>22</v>
      </c>
    </row>
    <row r="111" spans="1:9" ht="14.25" customHeight="1" x14ac:dyDescent="0.45">
      <c r="A111" s="9">
        <v>43981</v>
      </c>
      <c r="B111" s="5" t="s">
        <v>13</v>
      </c>
      <c r="C111" s="5">
        <v>39867</v>
      </c>
      <c r="D111" s="5">
        <v>3654166.5</v>
      </c>
      <c r="E111" s="4" cm="1">
        <f t="array" ref="E111">_xlfn.XLOOKUP(A111&amp;B111,Лист2!A:A&amp;Лист2!B:B,Лист2!C:C,0,0)</f>
        <v>20</v>
      </c>
      <c r="F111" s="4" cm="1">
        <f t="array" ref="F111">_xlfn.XLOOKUP(A111&amp;B111,Лист2!A:A&amp;Лист2!B:B,Лист2!D:D,0,0)</f>
        <v>2451</v>
      </c>
      <c r="G111" s="4" cm="1">
        <f t="array" ref="G111">_xlfn.XLOOKUP(A111&amp;B111,Лист2!A:A&amp;Лист2!B:B,Лист2!E:E,0,0)</f>
        <v>2178</v>
      </c>
      <c r="H111" s="27">
        <f t="shared" si="2"/>
        <v>1993.4</v>
      </c>
      <c r="I111">
        <f t="shared" si="3"/>
        <v>22</v>
      </c>
    </row>
    <row r="112" spans="1:9" ht="14.25" customHeight="1" x14ac:dyDescent="0.45">
      <c r="A112" s="8">
        <v>43979</v>
      </c>
      <c r="B112" s="3" t="s">
        <v>13</v>
      </c>
      <c r="C112" s="3">
        <v>31974</v>
      </c>
      <c r="D112" s="3">
        <v>3004213.5</v>
      </c>
      <c r="E112" s="4" cm="1">
        <f t="array" ref="E112">_xlfn.XLOOKUP(A112&amp;B112,Лист2!A:A&amp;Лист2!B:B,Лист2!C:C,0,0)</f>
        <v>20</v>
      </c>
      <c r="F112" s="4" cm="1">
        <f t="array" ref="F112">_xlfn.XLOOKUP(A112&amp;B112,Лист2!A:A&amp;Лист2!B:B,Лист2!D:D,0,0)</f>
        <v>2088</v>
      </c>
      <c r="G112" s="4" cm="1">
        <f t="array" ref="G112">_xlfn.XLOOKUP(A112&amp;B112,Лист2!A:A&amp;Лист2!B:B,Лист2!E:E,0,0)</f>
        <v>1848</v>
      </c>
      <c r="H112" s="27">
        <f t="shared" si="2"/>
        <v>1598.7</v>
      </c>
      <c r="I112">
        <f t="shared" si="3"/>
        <v>22</v>
      </c>
    </row>
    <row r="113" spans="1:9" ht="14.25" customHeight="1" x14ac:dyDescent="0.45">
      <c r="A113" s="9">
        <v>43967</v>
      </c>
      <c r="B113" s="5" t="s">
        <v>14</v>
      </c>
      <c r="C113" s="5">
        <v>321412.5</v>
      </c>
      <c r="D113" s="5">
        <v>32235864</v>
      </c>
      <c r="E113" s="4" cm="1">
        <f t="array" ref="E113">_xlfn.XLOOKUP(A113&amp;B113,Лист2!A:A&amp;Лист2!B:B,Лист2!C:C,0,0)</f>
        <v>129</v>
      </c>
      <c r="F113" s="4" cm="1">
        <f t="array" ref="F113">_xlfn.XLOOKUP(A113&amp;B113,Лист2!A:A&amp;Лист2!B:B,Лист2!D:D,0,0)</f>
        <v>17914</v>
      </c>
      <c r="G113" s="4" cm="1">
        <f t="array" ref="G113">_xlfn.XLOOKUP(A113&amp;B113,Лист2!A:A&amp;Лист2!B:B,Лист2!E:E,0,0)</f>
        <v>16631</v>
      </c>
      <c r="H113" s="27">
        <f t="shared" si="2"/>
        <v>2491.6</v>
      </c>
      <c r="I113">
        <f t="shared" si="3"/>
        <v>20</v>
      </c>
    </row>
    <row r="114" spans="1:9" ht="14.25" customHeight="1" x14ac:dyDescent="0.45">
      <c r="A114" s="8">
        <v>43970</v>
      </c>
      <c r="B114" s="3" t="s">
        <v>14</v>
      </c>
      <c r="C114" s="3">
        <v>276568.5</v>
      </c>
      <c r="D114" s="3">
        <v>27093624</v>
      </c>
      <c r="E114" s="4" cm="1">
        <f t="array" ref="E114">_xlfn.XLOOKUP(A114&amp;B114,Лист2!A:A&amp;Лист2!B:B,Лист2!C:C,0,0)</f>
        <v>129</v>
      </c>
      <c r="F114" s="4" cm="1">
        <f t="array" ref="F114">_xlfn.XLOOKUP(A114&amp;B114,Лист2!A:A&amp;Лист2!B:B,Лист2!D:D,0,0)</f>
        <v>16191</v>
      </c>
      <c r="G114" s="4" cm="1">
        <f t="array" ref="G114">_xlfn.XLOOKUP(A114&amp;B114,Лист2!A:A&amp;Лист2!B:B,Лист2!E:E,0,0)</f>
        <v>15102</v>
      </c>
      <c r="H114" s="27">
        <f t="shared" si="2"/>
        <v>2143.9</v>
      </c>
      <c r="I114">
        <f t="shared" si="3"/>
        <v>21</v>
      </c>
    </row>
    <row r="115" spans="1:9" ht="14.25" customHeight="1" x14ac:dyDescent="0.45">
      <c r="A115" s="9">
        <v>43968</v>
      </c>
      <c r="B115" s="5" t="s">
        <v>14</v>
      </c>
      <c r="C115" s="5">
        <v>269029.5</v>
      </c>
      <c r="D115" s="5">
        <v>26659930.5</v>
      </c>
      <c r="E115" s="4" cm="1">
        <f t="array" ref="E115">_xlfn.XLOOKUP(A115&amp;B115,Лист2!A:A&amp;Лист2!B:B,Лист2!C:C,0,0)</f>
        <v>129</v>
      </c>
      <c r="F115" s="4" cm="1">
        <f t="array" ref="F115">_xlfn.XLOOKUP(A115&amp;B115,Лист2!A:A&amp;Лист2!B:B,Лист2!D:D,0,0)</f>
        <v>15744</v>
      </c>
      <c r="G115" s="4" cm="1">
        <f t="array" ref="G115">_xlfn.XLOOKUP(A115&amp;B115,Лист2!A:A&amp;Лист2!B:B,Лист2!E:E,0,0)</f>
        <v>14685</v>
      </c>
      <c r="H115" s="27">
        <f t="shared" si="2"/>
        <v>2085.5</v>
      </c>
      <c r="I115">
        <f t="shared" si="3"/>
        <v>20</v>
      </c>
    </row>
    <row r="116" spans="1:9" ht="14.25" customHeight="1" x14ac:dyDescent="0.45">
      <c r="A116" s="8">
        <v>43960</v>
      </c>
      <c r="B116" s="3" t="s">
        <v>14</v>
      </c>
      <c r="C116" s="3">
        <v>285972</v>
      </c>
      <c r="D116" s="3">
        <v>29768199</v>
      </c>
      <c r="E116" s="4" cm="1">
        <f t="array" ref="E116">_xlfn.XLOOKUP(A116&amp;B116,Лист2!A:A&amp;Лист2!B:B,Лист2!C:C,0,0)</f>
        <v>129</v>
      </c>
      <c r="F116" s="4" cm="1">
        <f t="array" ref="F116">_xlfn.XLOOKUP(A116&amp;B116,Лист2!A:A&amp;Лист2!B:B,Лист2!D:D,0,0)</f>
        <v>16420</v>
      </c>
      <c r="G116" s="4" cm="1">
        <f t="array" ref="G116">_xlfn.XLOOKUP(A116&amp;B116,Лист2!A:A&amp;Лист2!B:B,Лист2!E:E,0,0)</f>
        <v>15169</v>
      </c>
      <c r="H116" s="27">
        <f t="shared" si="2"/>
        <v>2216.8000000000002</v>
      </c>
      <c r="I116">
        <f t="shared" si="3"/>
        <v>19</v>
      </c>
    </row>
    <row r="117" spans="1:9" ht="14.25" customHeight="1" x14ac:dyDescent="0.45">
      <c r="A117" s="9">
        <v>43955</v>
      </c>
      <c r="B117" s="5" t="s">
        <v>14</v>
      </c>
      <c r="C117" s="5">
        <v>283942.5</v>
      </c>
      <c r="D117" s="5">
        <v>29357940</v>
      </c>
      <c r="E117" s="4" cm="1">
        <f t="array" ref="E117">_xlfn.XLOOKUP(A117&amp;B117,Лист2!A:A&amp;Лист2!B:B,Лист2!C:C,0,0)</f>
        <v>129</v>
      </c>
      <c r="F117" s="4" cm="1">
        <f t="array" ref="F117">_xlfn.XLOOKUP(A117&amp;B117,Лист2!A:A&amp;Лист2!B:B,Лист2!D:D,0,0)</f>
        <v>16525</v>
      </c>
      <c r="G117" s="4" cm="1">
        <f t="array" ref="G117">_xlfn.XLOOKUP(A117&amp;B117,Лист2!A:A&amp;Лист2!B:B,Лист2!E:E,0,0)</f>
        <v>15310</v>
      </c>
      <c r="H117" s="27">
        <f t="shared" si="2"/>
        <v>2201.1</v>
      </c>
      <c r="I117">
        <f t="shared" si="3"/>
        <v>19</v>
      </c>
    </row>
    <row r="118" spans="1:9" ht="14.25" customHeight="1" x14ac:dyDescent="0.45">
      <c r="A118" s="8">
        <v>43950</v>
      </c>
      <c r="B118" s="3" t="s">
        <v>14</v>
      </c>
      <c r="C118" s="3">
        <v>298059</v>
      </c>
      <c r="D118" s="3">
        <v>30869287.5</v>
      </c>
      <c r="E118" s="4" cm="1">
        <f t="array" ref="E118">_xlfn.XLOOKUP(A118&amp;B118,Лист2!A:A&amp;Лист2!B:B,Лист2!C:C,0,0)</f>
        <v>128</v>
      </c>
      <c r="F118" s="4" cm="1">
        <f t="array" ref="F118">_xlfn.XLOOKUP(A118&amp;B118,Лист2!A:A&amp;Лист2!B:B,Лист2!D:D,0,0)</f>
        <v>17368</v>
      </c>
      <c r="G118" s="4" cm="1">
        <f t="array" ref="G118">_xlfn.XLOOKUP(A118&amp;B118,Лист2!A:A&amp;Лист2!B:B,Лист2!E:E,0,0)</f>
        <v>16077</v>
      </c>
      <c r="H118" s="27">
        <f t="shared" si="2"/>
        <v>2328.6</v>
      </c>
      <c r="I118">
        <f t="shared" si="3"/>
        <v>18</v>
      </c>
    </row>
    <row r="119" spans="1:9" ht="14.25" customHeight="1" x14ac:dyDescent="0.45">
      <c r="A119" s="9">
        <v>43953</v>
      </c>
      <c r="B119" s="5" t="s">
        <v>14</v>
      </c>
      <c r="C119" s="5">
        <v>232903.5</v>
      </c>
      <c r="D119" s="5">
        <v>24342016.5</v>
      </c>
      <c r="E119" s="4" cm="1">
        <f t="array" ref="E119">_xlfn.XLOOKUP(A119&amp;B119,Лист2!A:A&amp;Лист2!B:B,Лист2!C:C,0,0)</f>
        <v>129</v>
      </c>
      <c r="F119" s="4" cm="1">
        <f t="array" ref="F119">_xlfn.XLOOKUP(A119&amp;B119,Лист2!A:A&amp;Лист2!B:B,Лист2!D:D,0,0)</f>
        <v>14009</v>
      </c>
      <c r="G119" s="4" cm="1">
        <f t="array" ref="G119">_xlfn.XLOOKUP(A119&amp;B119,Лист2!A:A&amp;Лист2!B:B,Лист2!E:E,0,0)</f>
        <v>12920</v>
      </c>
      <c r="H119" s="27">
        <f t="shared" si="2"/>
        <v>1805.5</v>
      </c>
      <c r="I119">
        <f t="shared" si="3"/>
        <v>18</v>
      </c>
    </row>
    <row r="120" spans="1:9" ht="14.25" customHeight="1" x14ac:dyDescent="0.45">
      <c r="A120" s="8">
        <v>43977</v>
      </c>
      <c r="B120" s="3" t="s">
        <v>14</v>
      </c>
      <c r="C120" s="3">
        <v>276966</v>
      </c>
      <c r="D120" s="3">
        <v>27872617.898850001</v>
      </c>
      <c r="E120" s="4" cm="1">
        <f t="array" ref="E120">_xlfn.XLOOKUP(A120&amp;B120,Лист2!A:A&amp;Лист2!B:B,Лист2!C:C,0,0)</f>
        <v>129</v>
      </c>
      <c r="F120" s="4" cm="1">
        <f t="array" ref="F120">_xlfn.XLOOKUP(A120&amp;B120,Лист2!A:A&amp;Лист2!B:B,Лист2!D:D,0,0)</f>
        <v>16459</v>
      </c>
      <c r="G120" s="4" cm="1">
        <f t="array" ref="G120">_xlfn.XLOOKUP(A120&amp;B120,Лист2!A:A&amp;Лист2!B:B,Лист2!E:E,0,0)</f>
        <v>15355</v>
      </c>
      <c r="H120" s="27">
        <f t="shared" si="2"/>
        <v>2147</v>
      </c>
      <c r="I120">
        <f t="shared" si="3"/>
        <v>22</v>
      </c>
    </row>
    <row r="121" spans="1:9" ht="14.25" customHeight="1" x14ac:dyDescent="0.45">
      <c r="A121" s="9">
        <v>43952</v>
      </c>
      <c r="B121" s="5" t="s">
        <v>14</v>
      </c>
      <c r="C121" s="5">
        <v>296149.5</v>
      </c>
      <c r="D121" s="5">
        <v>31053316.5</v>
      </c>
      <c r="E121" s="4" cm="1">
        <f t="array" ref="E121">_xlfn.XLOOKUP(A121&amp;B121,Лист2!A:A&amp;Лист2!B:B,Лист2!C:C,0,0)</f>
        <v>129</v>
      </c>
      <c r="F121" s="4" cm="1">
        <f t="array" ref="F121">_xlfn.XLOOKUP(A121&amp;B121,Лист2!A:A&amp;Лист2!B:B,Лист2!D:D,0,0)</f>
        <v>17002</v>
      </c>
      <c r="G121" s="4" cm="1">
        <f t="array" ref="G121">_xlfn.XLOOKUP(A121&amp;B121,Лист2!A:A&amp;Лист2!B:B,Лист2!E:E,0,0)</f>
        <v>15570</v>
      </c>
      <c r="H121" s="27">
        <f t="shared" si="2"/>
        <v>2295.6999999999998</v>
      </c>
      <c r="I121">
        <f t="shared" si="3"/>
        <v>18</v>
      </c>
    </row>
    <row r="122" spans="1:9" ht="14.25" customHeight="1" x14ac:dyDescent="0.45">
      <c r="A122" s="8">
        <v>43963</v>
      </c>
      <c r="B122" s="3" t="s">
        <v>14</v>
      </c>
      <c r="C122" s="3">
        <v>281796</v>
      </c>
      <c r="D122" s="3">
        <v>29042520</v>
      </c>
      <c r="E122" s="4" cm="1">
        <f t="array" ref="E122">_xlfn.XLOOKUP(A122&amp;B122,Лист2!A:A&amp;Лист2!B:B,Лист2!C:C,0,0)</f>
        <v>129</v>
      </c>
      <c r="F122" s="4" cm="1">
        <f t="array" ref="F122">_xlfn.XLOOKUP(A122&amp;B122,Лист2!A:A&amp;Лист2!B:B,Лист2!D:D,0,0)</f>
        <v>16387</v>
      </c>
      <c r="G122" s="4" cm="1">
        <f t="array" ref="G122">_xlfn.XLOOKUP(A122&amp;B122,Лист2!A:A&amp;Лист2!B:B,Лист2!E:E,0,0)</f>
        <v>15322</v>
      </c>
      <c r="H122" s="27">
        <f t="shared" si="2"/>
        <v>2184.5</v>
      </c>
      <c r="I122">
        <f t="shared" si="3"/>
        <v>20</v>
      </c>
    </row>
    <row r="123" spans="1:9" ht="14.25" customHeight="1" x14ac:dyDescent="0.45">
      <c r="A123" s="9">
        <v>43972</v>
      </c>
      <c r="B123" s="5" t="s">
        <v>14</v>
      </c>
      <c r="C123" s="5">
        <v>288936</v>
      </c>
      <c r="D123" s="5">
        <v>27852900</v>
      </c>
      <c r="E123" s="4" cm="1">
        <f t="array" ref="E123">_xlfn.XLOOKUP(A123&amp;B123,Лист2!A:A&amp;Лист2!B:B,Лист2!C:C,0,0)</f>
        <v>129</v>
      </c>
      <c r="F123" s="4" cm="1">
        <f t="array" ref="F123">_xlfn.XLOOKUP(A123&amp;B123,Лист2!A:A&amp;Лист2!B:B,Лист2!D:D,0,0)</f>
        <v>16373</v>
      </c>
      <c r="G123" s="4" cm="1">
        <f t="array" ref="G123">_xlfn.XLOOKUP(A123&amp;B123,Лист2!A:A&amp;Лист2!B:B,Лист2!E:E,0,0)</f>
        <v>15223</v>
      </c>
      <c r="H123" s="27">
        <f t="shared" si="2"/>
        <v>2239.8000000000002</v>
      </c>
      <c r="I123">
        <f t="shared" si="3"/>
        <v>21</v>
      </c>
    </row>
    <row r="124" spans="1:9" ht="14.25" customHeight="1" x14ac:dyDescent="0.45">
      <c r="A124" s="8">
        <v>43971</v>
      </c>
      <c r="B124" s="3" t="s">
        <v>14</v>
      </c>
      <c r="C124" s="3">
        <v>300151.5</v>
      </c>
      <c r="D124" s="3">
        <v>29368771.617449999</v>
      </c>
      <c r="E124" s="4" cm="1">
        <f t="array" ref="E124">_xlfn.XLOOKUP(A124&amp;B124,Лист2!A:A&amp;Лист2!B:B,Лист2!C:C,0,0)</f>
        <v>129</v>
      </c>
      <c r="F124" s="4" cm="1">
        <f t="array" ref="F124">_xlfn.XLOOKUP(A124&amp;B124,Лист2!A:A&amp;Лист2!B:B,Лист2!D:D,0,0)</f>
        <v>17095</v>
      </c>
      <c r="G124" s="4" cm="1">
        <f t="array" ref="G124">_xlfn.XLOOKUP(A124&amp;B124,Лист2!A:A&amp;Лист2!B:B,Лист2!E:E,0,0)</f>
        <v>15919</v>
      </c>
      <c r="H124" s="27">
        <f t="shared" si="2"/>
        <v>2326.8000000000002</v>
      </c>
      <c r="I124">
        <f t="shared" si="3"/>
        <v>21</v>
      </c>
    </row>
    <row r="125" spans="1:9" ht="14.25" customHeight="1" x14ac:dyDescent="0.45">
      <c r="A125" s="9">
        <v>43956</v>
      </c>
      <c r="B125" s="5" t="s">
        <v>14</v>
      </c>
      <c r="C125" s="5">
        <v>262734</v>
      </c>
      <c r="D125" s="5">
        <v>27278441.145</v>
      </c>
      <c r="E125" s="4" cm="1">
        <f t="array" ref="E125">_xlfn.XLOOKUP(A125&amp;B125,Лист2!A:A&amp;Лист2!B:B,Лист2!C:C,0,0)</f>
        <v>129</v>
      </c>
      <c r="F125" s="4" cm="1">
        <f t="array" ref="F125">_xlfn.XLOOKUP(A125&amp;B125,Лист2!A:A&amp;Лист2!B:B,Лист2!D:D,0,0)</f>
        <v>15665</v>
      </c>
      <c r="G125" s="4" cm="1">
        <f t="array" ref="G125">_xlfn.XLOOKUP(A125&amp;B125,Лист2!A:A&amp;Лист2!B:B,Лист2!E:E,0,0)</f>
        <v>14501</v>
      </c>
      <c r="H125" s="27">
        <f t="shared" si="2"/>
        <v>2036.7</v>
      </c>
      <c r="I125">
        <f t="shared" si="3"/>
        <v>19</v>
      </c>
    </row>
    <row r="126" spans="1:9" ht="14.25" customHeight="1" x14ac:dyDescent="0.45">
      <c r="A126" s="8">
        <v>43949</v>
      </c>
      <c r="B126" s="3" t="s">
        <v>14</v>
      </c>
      <c r="C126" s="3">
        <v>286002</v>
      </c>
      <c r="D126" s="3">
        <v>29159032.5</v>
      </c>
      <c r="E126" s="4" cm="1">
        <f t="array" ref="E126">_xlfn.XLOOKUP(A126&amp;B126,Лист2!A:A&amp;Лист2!B:B,Лист2!C:C,0,0)</f>
        <v>128</v>
      </c>
      <c r="F126" s="4" cm="1">
        <f t="array" ref="F126">_xlfn.XLOOKUP(A126&amp;B126,Лист2!A:A&amp;Лист2!B:B,Лист2!D:D,0,0)</f>
        <v>16450</v>
      </c>
      <c r="G126" s="4" cm="1">
        <f t="array" ref="G126">_xlfn.XLOOKUP(A126&amp;B126,Лист2!A:A&amp;Лист2!B:B,Лист2!E:E,0,0)</f>
        <v>15320</v>
      </c>
      <c r="H126" s="27">
        <f t="shared" si="2"/>
        <v>2234.4</v>
      </c>
      <c r="I126">
        <f t="shared" si="3"/>
        <v>18</v>
      </c>
    </row>
    <row r="127" spans="1:9" ht="14.25" customHeight="1" x14ac:dyDescent="0.45">
      <c r="A127" s="9">
        <v>43964</v>
      </c>
      <c r="B127" s="5" t="s">
        <v>14</v>
      </c>
      <c r="C127" s="5">
        <v>258459</v>
      </c>
      <c r="D127" s="5">
        <v>26467453.5</v>
      </c>
      <c r="E127" s="4" cm="1">
        <f t="array" ref="E127">_xlfn.XLOOKUP(A127&amp;B127,Лист2!A:A&amp;Лист2!B:B,Лист2!C:C,0,0)</f>
        <v>129</v>
      </c>
      <c r="F127" s="4" cm="1">
        <f t="array" ref="F127">_xlfn.XLOOKUP(A127&amp;B127,Лист2!A:A&amp;Лист2!B:B,Лист2!D:D,0,0)</f>
        <v>15304</v>
      </c>
      <c r="G127" s="4" cm="1">
        <f t="array" ref="G127">_xlfn.XLOOKUP(A127&amp;B127,Лист2!A:A&amp;Лист2!B:B,Лист2!E:E,0,0)</f>
        <v>14315</v>
      </c>
      <c r="H127" s="27">
        <f t="shared" si="2"/>
        <v>2003.6</v>
      </c>
      <c r="I127">
        <f t="shared" si="3"/>
        <v>20</v>
      </c>
    </row>
    <row r="128" spans="1:9" ht="14.25" customHeight="1" x14ac:dyDescent="0.45">
      <c r="A128" s="8">
        <v>43954</v>
      </c>
      <c r="B128" s="3" t="s">
        <v>14</v>
      </c>
      <c r="C128" s="3">
        <v>274083</v>
      </c>
      <c r="D128" s="3">
        <v>28427001</v>
      </c>
      <c r="E128" s="4" cm="1">
        <f t="array" ref="E128">_xlfn.XLOOKUP(A128&amp;B128,Лист2!A:A&amp;Лист2!B:B,Лист2!C:C,0,0)</f>
        <v>129</v>
      </c>
      <c r="F128" s="4" cm="1">
        <f t="array" ref="F128">_xlfn.XLOOKUP(A128&amp;B128,Лист2!A:A&amp;Лист2!B:B,Лист2!D:D,0,0)</f>
        <v>15778</v>
      </c>
      <c r="G128" s="4" cm="1">
        <f t="array" ref="G128">_xlfn.XLOOKUP(A128&amp;B128,Лист2!A:A&amp;Лист2!B:B,Лист2!E:E,0,0)</f>
        <v>14624</v>
      </c>
      <c r="H128" s="27">
        <f t="shared" si="2"/>
        <v>2124.6999999999998</v>
      </c>
      <c r="I128">
        <f t="shared" si="3"/>
        <v>18</v>
      </c>
    </row>
    <row r="129" spans="1:9" ht="14.25" customHeight="1" x14ac:dyDescent="0.45">
      <c r="A129" s="9">
        <v>43957</v>
      </c>
      <c r="B129" s="5" t="s">
        <v>14</v>
      </c>
      <c r="C129" s="5">
        <v>277512</v>
      </c>
      <c r="D129" s="5">
        <v>28770810.105599999</v>
      </c>
      <c r="E129" s="4" cm="1">
        <f t="array" ref="E129">_xlfn.XLOOKUP(A129&amp;B129,Лист2!A:A&amp;Лист2!B:B,Лист2!C:C,0,0)</f>
        <v>129</v>
      </c>
      <c r="F129" s="4" cm="1">
        <f t="array" ref="F129">_xlfn.XLOOKUP(A129&amp;B129,Лист2!A:A&amp;Лист2!B:B,Лист2!D:D,0,0)</f>
        <v>16376</v>
      </c>
      <c r="G129" s="4" cm="1">
        <f t="array" ref="G129">_xlfn.XLOOKUP(A129&amp;B129,Лист2!A:A&amp;Лист2!B:B,Лист2!E:E,0,0)</f>
        <v>15197</v>
      </c>
      <c r="H129" s="27">
        <f t="shared" si="2"/>
        <v>2151.3000000000002</v>
      </c>
      <c r="I129">
        <f t="shared" si="3"/>
        <v>19</v>
      </c>
    </row>
    <row r="130" spans="1:9" ht="14.25" customHeight="1" x14ac:dyDescent="0.45">
      <c r="A130" s="8">
        <v>43974</v>
      </c>
      <c r="B130" s="3" t="s">
        <v>14</v>
      </c>
      <c r="C130" s="3">
        <v>356982</v>
      </c>
      <c r="D130" s="3">
        <v>35103926.711549997</v>
      </c>
      <c r="E130" s="4" cm="1">
        <f t="array" ref="E130">_xlfn.XLOOKUP(A130&amp;B130,Лист2!A:A&amp;Лист2!B:B,Лист2!C:C,0,0)</f>
        <v>129</v>
      </c>
      <c r="F130" s="4" cm="1">
        <f t="array" ref="F130">_xlfn.XLOOKUP(A130&amp;B130,Лист2!A:A&amp;Лист2!B:B,Лист2!D:D,0,0)</f>
        <v>19856</v>
      </c>
      <c r="G130" s="4" cm="1">
        <f t="array" ref="G130">_xlfn.XLOOKUP(A130&amp;B130,Лист2!A:A&amp;Лист2!B:B,Лист2!E:E,0,0)</f>
        <v>18325</v>
      </c>
      <c r="H130" s="27">
        <f t="shared" si="2"/>
        <v>2767.3</v>
      </c>
      <c r="I130">
        <f t="shared" si="3"/>
        <v>21</v>
      </c>
    </row>
    <row r="131" spans="1:9" ht="14.25" customHeight="1" x14ac:dyDescent="0.45">
      <c r="A131" s="9">
        <v>43976</v>
      </c>
      <c r="B131" s="5" t="s">
        <v>14</v>
      </c>
      <c r="C131" s="5">
        <v>266983.5</v>
      </c>
      <c r="D131" s="5">
        <v>27165913.5</v>
      </c>
      <c r="E131" s="4" cm="1">
        <f t="array" ref="E131">_xlfn.XLOOKUP(A131&amp;B131,Лист2!A:A&amp;Лист2!B:B,Лист2!C:C,0,0)</f>
        <v>129</v>
      </c>
      <c r="F131" s="4" cm="1">
        <f t="array" ref="F131">_xlfn.XLOOKUP(A131&amp;B131,Лист2!A:A&amp;Лист2!B:B,Лист2!D:D,0,0)</f>
        <v>15822</v>
      </c>
      <c r="G131" s="4" cm="1">
        <f t="array" ref="G131">_xlfn.XLOOKUP(A131&amp;B131,Лист2!A:A&amp;Лист2!B:B,Лист2!E:E,0,0)</f>
        <v>14753</v>
      </c>
      <c r="H131" s="27">
        <f t="shared" ref="H131:H194" si="4">ROUND(C131/E131, 1)</f>
        <v>2069.6</v>
      </c>
      <c r="I131">
        <f t="shared" ref="I131:I194" si="5">WEEKNUM(A131,2)</f>
        <v>22</v>
      </c>
    </row>
    <row r="132" spans="1:9" ht="14.25" customHeight="1" x14ac:dyDescent="0.45">
      <c r="A132" s="8">
        <v>43951</v>
      </c>
      <c r="B132" s="3" t="s">
        <v>14</v>
      </c>
      <c r="C132" s="3">
        <v>311131.5</v>
      </c>
      <c r="D132" s="3">
        <v>32418879</v>
      </c>
      <c r="E132" s="4" cm="1">
        <f t="array" ref="E132">_xlfn.XLOOKUP(A132&amp;B132,Лист2!A:A&amp;Лист2!B:B,Лист2!C:C,0,0)</f>
        <v>129</v>
      </c>
      <c r="F132" s="4" cm="1">
        <f t="array" ref="F132">_xlfn.XLOOKUP(A132&amp;B132,Лист2!A:A&amp;Лист2!B:B,Лист2!D:D,0,0)</f>
        <v>18042</v>
      </c>
      <c r="G132" s="4" cm="1">
        <f t="array" ref="G132">_xlfn.XLOOKUP(A132&amp;B132,Лист2!A:A&amp;Лист2!B:B,Лист2!E:E,0,0)</f>
        <v>16631</v>
      </c>
      <c r="H132" s="27">
        <f t="shared" si="4"/>
        <v>2411.9</v>
      </c>
      <c r="I132">
        <f t="shared" si="5"/>
        <v>18</v>
      </c>
    </row>
    <row r="133" spans="1:9" ht="14.25" customHeight="1" x14ac:dyDescent="0.45">
      <c r="A133" s="9">
        <v>43961</v>
      </c>
      <c r="B133" s="5" t="s">
        <v>14</v>
      </c>
      <c r="C133" s="5">
        <v>287206.5</v>
      </c>
      <c r="D133" s="5">
        <v>29536176.10605</v>
      </c>
      <c r="E133" s="4" cm="1">
        <f t="array" ref="E133">_xlfn.XLOOKUP(A133&amp;B133,Лист2!A:A&amp;Лист2!B:B,Лист2!C:C,0,0)</f>
        <v>129</v>
      </c>
      <c r="F133" s="4" cm="1">
        <f t="array" ref="F133">_xlfn.XLOOKUP(A133&amp;B133,Лист2!A:A&amp;Лист2!B:B,Лист2!D:D,0,0)</f>
        <v>16437</v>
      </c>
      <c r="G133" s="4" cm="1">
        <f t="array" ref="G133">_xlfn.XLOOKUP(A133&amp;B133,Лист2!A:A&amp;Лист2!B:B,Лист2!E:E,0,0)</f>
        <v>15285</v>
      </c>
      <c r="H133" s="27">
        <f t="shared" si="4"/>
        <v>2226.4</v>
      </c>
      <c r="I133">
        <f t="shared" si="5"/>
        <v>19</v>
      </c>
    </row>
    <row r="134" spans="1:9" ht="14.25" customHeight="1" x14ac:dyDescent="0.45">
      <c r="A134" s="8">
        <v>43959</v>
      </c>
      <c r="B134" s="3" t="s">
        <v>14</v>
      </c>
      <c r="C134" s="3">
        <v>370092</v>
      </c>
      <c r="D134" s="3">
        <v>38091556.5</v>
      </c>
      <c r="E134" s="4" cm="1">
        <f t="array" ref="E134">_xlfn.XLOOKUP(A134&amp;B134,Лист2!A:A&amp;Лист2!B:B,Лист2!C:C,0,0)</f>
        <v>129</v>
      </c>
      <c r="F134" s="4" cm="1">
        <f t="array" ref="F134">_xlfn.XLOOKUP(A134&amp;B134,Лист2!A:A&amp;Лист2!B:B,Лист2!D:D,0,0)</f>
        <v>20452</v>
      </c>
      <c r="G134" s="4" cm="1">
        <f t="array" ref="G134">_xlfn.XLOOKUP(A134&amp;B134,Лист2!A:A&amp;Лист2!B:B,Лист2!E:E,0,0)</f>
        <v>18857</v>
      </c>
      <c r="H134" s="27">
        <f t="shared" si="4"/>
        <v>2868.9</v>
      </c>
      <c r="I134">
        <f t="shared" si="5"/>
        <v>19</v>
      </c>
    </row>
    <row r="135" spans="1:9" ht="14.25" customHeight="1" x14ac:dyDescent="0.45">
      <c r="A135" s="9">
        <v>43958</v>
      </c>
      <c r="B135" s="5" t="s">
        <v>14</v>
      </c>
      <c r="C135" s="5">
        <v>247813.5</v>
      </c>
      <c r="D135" s="5">
        <v>25325271</v>
      </c>
      <c r="E135" s="4" cm="1">
        <f t="array" ref="E135">_xlfn.XLOOKUP(A135&amp;B135,Лист2!A:A&amp;Лист2!B:B,Лист2!C:C,0,0)</f>
        <v>129</v>
      </c>
      <c r="F135" s="4" cm="1">
        <f t="array" ref="F135">_xlfn.XLOOKUP(A135&amp;B135,Лист2!A:A&amp;Лист2!B:B,Лист2!D:D,0,0)</f>
        <v>14582</v>
      </c>
      <c r="G135" s="4" cm="1">
        <f t="array" ref="G135">_xlfn.XLOOKUP(A135&amp;B135,Лист2!A:A&amp;Лист2!B:B,Лист2!E:E,0,0)</f>
        <v>13512</v>
      </c>
      <c r="H135" s="27">
        <f t="shared" si="4"/>
        <v>1921</v>
      </c>
      <c r="I135">
        <f t="shared" si="5"/>
        <v>19</v>
      </c>
    </row>
    <row r="136" spans="1:9" ht="14.25" customHeight="1" x14ac:dyDescent="0.45">
      <c r="A136" s="8">
        <v>43975</v>
      </c>
      <c r="B136" s="3" t="s">
        <v>14</v>
      </c>
      <c r="C136" s="3">
        <v>287740.5</v>
      </c>
      <c r="D136" s="3">
        <v>28188534</v>
      </c>
      <c r="E136" s="4" cm="1">
        <f t="array" ref="E136">_xlfn.XLOOKUP(A136&amp;B136,Лист2!A:A&amp;Лист2!B:B,Лист2!C:C,0,0)</f>
        <v>129</v>
      </c>
      <c r="F136" s="4" cm="1">
        <f t="array" ref="F136">_xlfn.XLOOKUP(A136&amp;B136,Лист2!A:A&amp;Лист2!B:B,Лист2!D:D,0,0)</f>
        <v>16432</v>
      </c>
      <c r="G136" s="4" cm="1">
        <f t="array" ref="G136">_xlfn.XLOOKUP(A136&amp;B136,Лист2!A:A&amp;Лист2!B:B,Лист2!E:E,0,0)</f>
        <v>15345</v>
      </c>
      <c r="H136" s="27">
        <f t="shared" si="4"/>
        <v>2230.5</v>
      </c>
      <c r="I136">
        <f t="shared" si="5"/>
        <v>21</v>
      </c>
    </row>
    <row r="137" spans="1:9" ht="14.25" customHeight="1" x14ac:dyDescent="0.45">
      <c r="A137" s="9">
        <v>43967</v>
      </c>
      <c r="B137" s="5" t="s">
        <v>15</v>
      </c>
      <c r="C137" s="5">
        <v>408810</v>
      </c>
      <c r="D137" s="5">
        <v>42323631</v>
      </c>
      <c r="E137" s="4" cm="1">
        <f t="array" ref="E137">_xlfn.XLOOKUP(A137&amp;B137,Лист2!A:A&amp;Лист2!B:B,Лист2!C:C,0,0)</f>
        <v>125</v>
      </c>
      <c r="F137" s="4" cm="1">
        <f t="array" ref="F137">_xlfn.XLOOKUP(A137&amp;B137,Лист2!A:A&amp;Лист2!B:B,Лист2!D:D,0,0)</f>
        <v>22291</v>
      </c>
      <c r="G137" s="4" cm="1">
        <f t="array" ref="G137">_xlfn.XLOOKUP(A137&amp;B137,Лист2!A:A&amp;Лист2!B:B,Лист2!E:E,0,0)</f>
        <v>20635</v>
      </c>
      <c r="H137" s="27">
        <f t="shared" si="4"/>
        <v>3270.5</v>
      </c>
      <c r="I137">
        <f t="shared" si="5"/>
        <v>20</v>
      </c>
    </row>
    <row r="138" spans="1:9" ht="14.25" customHeight="1" x14ac:dyDescent="0.45">
      <c r="A138" s="8">
        <v>43970</v>
      </c>
      <c r="B138" s="3" t="s">
        <v>15</v>
      </c>
      <c r="C138" s="3">
        <v>362536.5</v>
      </c>
      <c r="D138" s="3">
        <v>37023243</v>
      </c>
      <c r="E138" s="4" cm="1">
        <f t="array" ref="E138">_xlfn.XLOOKUP(A138&amp;B138,Лист2!A:A&amp;Лист2!B:B,Лист2!C:C,0,0)</f>
        <v>125</v>
      </c>
      <c r="F138" s="4" cm="1">
        <f t="array" ref="F138">_xlfn.XLOOKUP(A138&amp;B138,Лист2!A:A&amp;Лист2!B:B,Лист2!D:D,0,0)</f>
        <v>20771</v>
      </c>
      <c r="G138" s="4" cm="1">
        <f t="array" ref="G138">_xlfn.XLOOKUP(A138&amp;B138,Лист2!A:A&amp;Лист2!B:B,Лист2!E:E,0,0)</f>
        <v>19338</v>
      </c>
      <c r="H138" s="27">
        <f t="shared" si="4"/>
        <v>2900.3</v>
      </c>
      <c r="I138">
        <f t="shared" si="5"/>
        <v>21</v>
      </c>
    </row>
    <row r="139" spans="1:9" ht="14.25" customHeight="1" x14ac:dyDescent="0.45">
      <c r="A139" s="9">
        <v>43968</v>
      </c>
      <c r="B139" s="5" t="s">
        <v>15</v>
      </c>
      <c r="C139" s="5">
        <v>357072</v>
      </c>
      <c r="D139" s="5">
        <v>36834567</v>
      </c>
      <c r="E139" s="4" cm="1">
        <f t="array" ref="E139">_xlfn.XLOOKUP(A139&amp;B139,Лист2!A:A&amp;Лист2!B:B,Лист2!C:C,0,0)</f>
        <v>125</v>
      </c>
      <c r="F139" s="4" cm="1">
        <f t="array" ref="F139">_xlfn.XLOOKUP(A139&amp;B139,Лист2!A:A&amp;Лист2!B:B,Лист2!D:D,0,0)</f>
        <v>20079</v>
      </c>
      <c r="G139" s="4" cm="1">
        <f t="array" ref="G139">_xlfn.XLOOKUP(A139&amp;B139,Лист2!A:A&amp;Лист2!B:B,Лист2!E:E,0,0)</f>
        <v>18721</v>
      </c>
      <c r="H139" s="27">
        <f t="shared" si="4"/>
        <v>2856.6</v>
      </c>
      <c r="I139">
        <f t="shared" si="5"/>
        <v>20</v>
      </c>
    </row>
    <row r="140" spans="1:9" ht="14.25" customHeight="1" x14ac:dyDescent="0.45">
      <c r="A140" s="8">
        <v>43960</v>
      </c>
      <c r="B140" s="3" t="s">
        <v>15</v>
      </c>
      <c r="C140" s="3">
        <v>359214</v>
      </c>
      <c r="D140" s="3">
        <v>38693427</v>
      </c>
      <c r="E140" s="4" cm="1">
        <f t="array" ref="E140">_xlfn.XLOOKUP(A140&amp;B140,Лист2!A:A&amp;Лист2!B:B,Лист2!C:C,0,0)</f>
        <v>125</v>
      </c>
      <c r="F140" s="4" cm="1">
        <f t="array" ref="F140">_xlfn.XLOOKUP(A140&amp;B140,Лист2!A:A&amp;Лист2!B:B,Лист2!D:D,0,0)</f>
        <v>20132</v>
      </c>
      <c r="G140" s="4" cm="1">
        <f t="array" ref="G140">_xlfn.XLOOKUP(A140&amp;B140,Лист2!A:A&amp;Лист2!B:B,Лист2!E:E,0,0)</f>
        <v>18617</v>
      </c>
      <c r="H140" s="27">
        <f t="shared" si="4"/>
        <v>2873.7</v>
      </c>
      <c r="I140">
        <f t="shared" si="5"/>
        <v>19</v>
      </c>
    </row>
    <row r="141" spans="1:9" ht="14.25" customHeight="1" x14ac:dyDescent="0.45">
      <c r="A141" s="9">
        <v>43955</v>
      </c>
      <c r="B141" s="5" t="s">
        <v>15</v>
      </c>
      <c r="C141" s="5">
        <v>360255</v>
      </c>
      <c r="D141" s="5">
        <v>38406954</v>
      </c>
      <c r="E141" s="4" cm="1">
        <f t="array" ref="E141">_xlfn.XLOOKUP(A141&amp;B141,Лист2!A:A&amp;Лист2!B:B,Лист2!C:C,0,0)</f>
        <v>125</v>
      </c>
      <c r="F141" s="4" cm="1">
        <f t="array" ref="F141">_xlfn.XLOOKUP(A141&amp;B141,Лист2!A:A&amp;Лист2!B:B,Лист2!D:D,0,0)</f>
        <v>20495</v>
      </c>
      <c r="G141" s="4" cm="1">
        <f t="array" ref="G141">_xlfn.XLOOKUP(A141&amp;B141,Лист2!A:A&amp;Лист2!B:B,Лист2!E:E,0,0)</f>
        <v>18964</v>
      </c>
      <c r="H141" s="27">
        <f t="shared" si="4"/>
        <v>2882</v>
      </c>
      <c r="I141">
        <f t="shared" si="5"/>
        <v>19</v>
      </c>
    </row>
    <row r="142" spans="1:9" ht="14.25" customHeight="1" x14ac:dyDescent="0.45">
      <c r="A142" s="8">
        <v>43950</v>
      </c>
      <c r="B142" s="3" t="s">
        <v>15</v>
      </c>
      <c r="C142" s="3">
        <v>387220.5</v>
      </c>
      <c r="D142" s="3">
        <v>41559384</v>
      </c>
      <c r="E142" s="4" cm="1">
        <f t="array" ref="E142">_xlfn.XLOOKUP(A142&amp;B142,Лист2!A:A&amp;Лист2!B:B,Лист2!C:C,0,0)</f>
        <v>125</v>
      </c>
      <c r="F142" s="4" cm="1">
        <f t="array" ref="F142">_xlfn.XLOOKUP(A142&amp;B142,Лист2!A:A&amp;Лист2!B:B,Лист2!D:D,0,0)</f>
        <v>21863</v>
      </c>
      <c r="G142" s="4" cm="1">
        <f t="array" ref="G142">_xlfn.XLOOKUP(A142&amp;B142,Лист2!A:A&amp;Лист2!B:B,Лист2!E:E,0,0)</f>
        <v>20160</v>
      </c>
      <c r="H142" s="27">
        <f t="shared" si="4"/>
        <v>3097.8</v>
      </c>
      <c r="I142">
        <f t="shared" si="5"/>
        <v>18</v>
      </c>
    </row>
    <row r="143" spans="1:9" ht="14.25" customHeight="1" x14ac:dyDescent="0.45">
      <c r="A143" s="9">
        <v>43953</v>
      </c>
      <c r="B143" s="5" t="s">
        <v>15</v>
      </c>
      <c r="C143" s="5">
        <v>296580</v>
      </c>
      <c r="D143" s="5">
        <v>31843737</v>
      </c>
      <c r="E143" s="4" cm="1">
        <f t="array" ref="E143">_xlfn.XLOOKUP(A143&amp;B143,Лист2!A:A&amp;Лист2!B:B,Лист2!C:C,0,0)</f>
        <v>125</v>
      </c>
      <c r="F143" s="4" cm="1">
        <f t="array" ref="F143">_xlfn.XLOOKUP(A143&amp;B143,Лист2!A:A&amp;Лист2!B:B,Лист2!D:D,0,0)</f>
        <v>16932</v>
      </c>
      <c r="G143" s="4" cm="1">
        <f t="array" ref="G143">_xlfn.XLOOKUP(A143&amp;B143,Лист2!A:A&amp;Лист2!B:B,Лист2!E:E,0,0)</f>
        <v>15601</v>
      </c>
      <c r="H143" s="27">
        <f t="shared" si="4"/>
        <v>2372.6</v>
      </c>
      <c r="I143">
        <f t="shared" si="5"/>
        <v>18</v>
      </c>
    </row>
    <row r="144" spans="1:9" ht="14.25" customHeight="1" x14ac:dyDescent="0.45">
      <c r="A144" s="8">
        <v>43977</v>
      </c>
      <c r="B144" s="3" t="s">
        <v>15</v>
      </c>
      <c r="C144" s="3">
        <v>369861</v>
      </c>
      <c r="D144" s="3">
        <v>38365960.5</v>
      </c>
      <c r="E144" s="4" cm="1">
        <f t="array" ref="E144">_xlfn.XLOOKUP(A144&amp;B144,Лист2!A:A&amp;Лист2!B:B,Лист2!C:C,0,0)</f>
        <v>124</v>
      </c>
      <c r="F144" s="4" cm="1">
        <f t="array" ref="F144">_xlfn.XLOOKUP(A144&amp;B144,Лист2!A:A&amp;Лист2!B:B,Лист2!D:D,0,0)</f>
        <v>21153</v>
      </c>
      <c r="G144" s="4" cm="1">
        <f t="array" ref="G144">_xlfn.XLOOKUP(A144&amp;B144,Лист2!A:A&amp;Лист2!B:B,Лист2!E:E,0,0)</f>
        <v>19673</v>
      </c>
      <c r="H144" s="27">
        <f t="shared" si="4"/>
        <v>2982.8</v>
      </c>
      <c r="I144">
        <f t="shared" si="5"/>
        <v>22</v>
      </c>
    </row>
    <row r="145" spans="1:9" ht="14.25" customHeight="1" x14ac:dyDescent="0.45">
      <c r="A145" s="9">
        <v>43952</v>
      </c>
      <c r="B145" s="5" t="s">
        <v>15</v>
      </c>
      <c r="C145" s="5">
        <v>372504</v>
      </c>
      <c r="D145" s="5">
        <v>40077193.5</v>
      </c>
      <c r="E145" s="4" cm="1">
        <f t="array" ref="E145">_xlfn.XLOOKUP(A145&amp;B145,Лист2!A:A&amp;Лист2!B:B,Лист2!C:C,0,0)</f>
        <v>125</v>
      </c>
      <c r="F145" s="4" cm="1">
        <f t="array" ref="F145">_xlfn.XLOOKUP(A145&amp;B145,Лист2!A:A&amp;Лист2!B:B,Лист2!D:D,0,0)</f>
        <v>20602</v>
      </c>
      <c r="G145" s="4" cm="1">
        <f t="array" ref="G145">_xlfn.XLOOKUP(A145&amp;B145,Лист2!A:A&amp;Лист2!B:B,Лист2!E:E,0,0)</f>
        <v>18845</v>
      </c>
      <c r="H145" s="27">
        <f t="shared" si="4"/>
        <v>2980</v>
      </c>
      <c r="I145">
        <f t="shared" si="5"/>
        <v>18</v>
      </c>
    </row>
    <row r="146" spans="1:9" ht="14.25" customHeight="1" x14ac:dyDescent="0.45">
      <c r="A146" s="8">
        <v>43963</v>
      </c>
      <c r="B146" s="3" t="s">
        <v>15</v>
      </c>
      <c r="C146" s="3">
        <v>373392</v>
      </c>
      <c r="D146" s="3">
        <v>39578577</v>
      </c>
      <c r="E146" s="4" cm="1">
        <f t="array" ref="E146">_xlfn.XLOOKUP(A146&amp;B146,Лист2!A:A&amp;Лист2!B:B,Лист2!C:C,0,0)</f>
        <v>125</v>
      </c>
      <c r="F146" s="4" cm="1">
        <f t="array" ref="F146">_xlfn.XLOOKUP(A146&amp;B146,Лист2!A:A&amp;Лист2!B:B,Лист2!D:D,0,0)</f>
        <v>21106</v>
      </c>
      <c r="G146" s="4" cm="1">
        <f t="array" ref="G146">_xlfn.XLOOKUP(A146&amp;B146,Лист2!A:A&amp;Лист2!B:B,Лист2!E:E,0,0)</f>
        <v>19651</v>
      </c>
      <c r="H146" s="27">
        <f t="shared" si="4"/>
        <v>2987.1</v>
      </c>
      <c r="I146">
        <f t="shared" si="5"/>
        <v>20</v>
      </c>
    </row>
    <row r="147" spans="1:9" ht="14.25" customHeight="1" x14ac:dyDescent="0.45">
      <c r="A147" s="9">
        <v>43972</v>
      </c>
      <c r="B147" s="5" t="s">
        <v>15</v>
      </c>
      <c r="C147" s="5">
        <v>378043.5</v>
      </c>
      <c r="D147" s="5">
        <v>37902156.57</v>
      </c>
      <c r="E147" s="4" cm="1">
        <f t="array" ref="E147">_xlfn.XLOOKUP(A147&amp;B147,Лист2!A:A&amp;Лист2!B:B,Лист2!C:C,0,0)</f>
        <v>125</v>
      </c>
      <c r="F147" s="4" cm="1">
        <f t="array" ref="F147">_xlfn.XLOOKUP(A147&amp;B147,Лист2!A:A&amp;Лист2!B:B,Лист2!D:D,0,0)</f>
        <v>20911</v>
      </c>
      <c r="G147" s="4" cm="1">
        <f t="array" ref="G147">_xlfn.XLOOKUP(A147&amp;B147,Лист2!A:A&amp;Лист2!B:B,Лист2!E:E,0,0)</f>
        <v>19358</v>
      </c>
      <c r="H147" s="27">
        <f t="shared" si="4"/>
        <v>3024.3</v>
      </c>
      <c r="I147">
        <f t="shared" si="5"/>
        <v>21</v>
      </c>
    </row>
    <row r="148" spans="1:9" ht="14.25" customHeight="1" x14ac:dyDescent="0.45">
      <c r="A148" s="8">
        <v>43971</v>
      </c>
      <c r="B148" s="3" t="s">
        <v>15</v>
      </c>
      <c r="C148" s="3">
        <v>388668</v>
      </c>
      <c r="D148" s="3">
        <v>39639309</v>
      </c>
      <c r="E148" s="4" cm="1">
        <f t="array" ref="E148">_xlfn.XLOOKUP(A148&amp;B148,Лист2!A:A&amp;Лист2!B:B,Лист2!C:C,0,0)</f>
        <v>125</v>
      </c>
      <c r="F148" s="4" cm="1">
        <f t="array" ref="F148">_xlfn.XLOOKUP(A148&amp;B148,Лист2!A:A&amp;Лист2!B:B,Лист2!D:D,0,0)</f>
        <v>21674</v>
      </c>
      <c r="G148" s="4" cm="1">
        <f t="array" ref="G148">_xlfn.XLOOKUP(A148&amp;B148,Лист2!A:A&amp;Лист2!B:B,Лист2!E:E,0,0)</f>
        <v>20155</v>
      </c>
      <c r="H148" s="27">
        <f t="shared" si="4"/>
        <v>3109.3</v>
      </c>
      <c r="I148">
        <f t="shared" si="5"/>
        <v>21</v>
      </c>
    </row>
    <row r="149" spans="1:9" ht="14.25" customHeight="1" x14ac:dyDescent="0.45">
      <c r="A149" s="9">
        <v>43956</v>
      </c>
      <c r="B149" s="5" t="s">
        <v>15</v>
      </c>
      <c r="C149" s="5">
        <v>333792</v>
      </c>
      <c r="D149" s="5">
        <v>35671734</v>
      </c>
      <c r="E149" s="4" cm="1">
        <f t="array" ref="E149">_xlfn.XLOOKUP(A149&amp;B149,Лист2!A:A&amp;Лист2!B:B,Лист2!C:C,0,0)</f>
        <v>125</v>
      </c>
      <c r="F149" s="4" cm="1">
        <f t="array" ref="F149">_xlfn.XLOOKUP(A149&amp;B149,Лист2!A:A&amp;Лист2!B:B,Лист2!D:D,0,0)</f>
        <v>18944</v>
      </c>
      <c r="G149" s="4" cm="1">
        <f t="array" ref="G149">_xlfn.XLOOKUP(A149&amp;B149,Лист2!A:A&amp;Лист2!B:B,Лист2!E:E,0,0)</f>
        <v>17541</v>
      </c>
      <c r="H149" s="27">
        <f t="shared" si="4"/>
        <v>2670.3</v>
      </c>
      <c r="I149">
        <f t="shared" si="5"/>
        <v>19</v>
      </c>
    </row>
    <row r="150" spans="1:9" ht="14.25" customHeight="1" x14ac:dyDescent="0.45">
      <c r="A150" s="8">
        <v>43949</v>
      </c>
      <c r="B150" s="3" t="s">
        <v>15</v>
      </c>
      <c r="C150" s="3">
        <v>376060.5</v>
      </c>
      <c r="D150" s="3">
        <v>39918028.5</v>
      </c>
      <c r="E150" s="4" cm="1">
        <f t="array" ref="E150">_xlfn.XLOOKUP(A150&amp;B150,Лист2!A:A&amp;Лист2!B:B,Лист2!C:C,0,0)</f>
        <v>125</v>
      </c>
      <c r="F150" s="4" cm="1">
        <f t="array" ref="F150">_xlfn.XLOOKUP(A150&amp;B150,Лист2!A:A&amp;Лист2!B:B,Лист2!D:D,0,0)</f>
        <v>20914</v>
      </c>
      <c r="G150" s="4" cm="1">
        <f t="array" ref="G150">_xlfn.XLOOKUP(A150&amp;B150,Лист2!A:A&amp;Лист2!B:B,Лист2!E:E,0,0)</f>
        <v>19479</v>
      </c>
      <c r="H150" s="27">
        <f t="shared" si="4"/>
        <v>3008.5</v>
      </c>
      <c r="I150">
        <f t="shared" si="5"/>
        <v>18</v>
      </c>
    </row>
    <row r="151" spans="1:9" ht="14.25" customHeight="1" x14ac:dyDescent="0.45">
      <c r="A151" s="9">
        <v>43964</v>
      </c>
      <c r="B151" s="5" t="s">
        <v>15</v>
      </c>
      <c r="C151" s="5">
        <v>350068.5</v>
      </c>
      <c r="D151" s="5">
        <v>37197115.5</v>
      </c>
      <c r="E151" s="4" cm="1">
        <f t="array" ref="E151">_xlfn.XLOOKUP(A151&amp;B151,Лист2!A:A&amp;Лист2!B:B,Лист2!C:C,0,0)</f>
        <v>125</v>
      </c>
      <c r="F151" s="4" cm="1">
        <f t="array" ref="F151">_xlfn.XLOOKUP(A151&amp;B151,Лист2!A:A&amp;Лист2!B:B,Лист2!D:D,0,0)</f>
        <v>19965</v>
      </c>
      <c r="G151" s="4" cm="1">
        <f t="array" ref="G151">_xlfn.XLOOKUP(A151&amp;B151,Лист2!A:A&amp;Лист2!B:B,Лист2!E:E,0,0)</f>
        <v>18573</v>
      </c>
      <c r="H151" s="27">
        <f t="shared" si="4"/>
        <v>2800.5</v>
      </c>
      <c r="I151">
        <f t="shared" si="5"/>
        <v>20</v>
      </c>
    </row>
    <row r="152" spans="1:9" ht="14.25" customHeight="1" x14ac:dyDescent="0.45">
      <c r="A152" s="8">
        <v>43982</v>
      </c>
      <c r="B152" s="3" t="s">
        <v>14</v>
      </c>
      <c r="C152" s="3">
        <v>294337.5</v>
      </c>
      <c r="D152" s="3">
        <v>29327766</v>
      </c>
      <c r="E152" s="4" cm="1">
        <f t="array" ref="E152">_xlfn.XLOOKUP(A152&amp;B152,Лист2!A:A&amp;Лист2!B:B,Лист2!C:C,0,0)</f>
        <v>129</v>
      </c>
      <c r="F152" s="4" cm="1">
        <f t="array" ref="F152">_xlfn.XLOOKUP(A152&amp;B152,Лист2!A:A&amp;Лист2!B:B,Лист2!D:D,0,0)</f>
        <v>17235</v>
      </c>
      <c r="G152" s="4" cm="1">
        <f t="array" ref="G152">_xlfn.XLOOKUP(A152&amp;B152,Лист2!A:A&amp;Лист2!B:B,Лист2!E:E,0,0)</f>
        <v>16052</v>
      </c>
      <c r="H152" s="27">
        <f t="shared" si="4"/>
        <v>2281.6999999999998</v>
      </c>
      <c r="I152">
        <f t="shared" si="5"/>
        <v>22</v>
      </c>
    </row>
    <row r="153" spans="1:9" ht="14.25" customHeight="1" x14ac:dyDescent="0.45">
      <c r="A153" s="9">
        <v>43954</v>
      </c>
      <c r="B153" s="5" t="s">
        <v>15</v>
      </c>
      <c r="C153" s="5">
        <v>342666</v>
      </c>
      <c r="D153" s="5">
        <v>36631999.5</v>
      </c>
      <c r="E153" s="4" cm="1">
        <f t="array" ref="E153">_xlfn.XLOOKUP(A153&amp;B153,Лист2!A:A&amp;Лист2!B:B,Лист2!C:C,0,0)</f>
        <v>125</v>
      </c>
      <c r="F153" s="4" cm="1">
        <f t="array" ref="F153">_xlfn.XLOOKUP(A153&amp;B153,Лист2!A:A&amp;Лист2!B:B,Лист2!D:D,0,0)</f>
        <v>18861</v>
      </c>
      <c r="G153" s="4" cm="1">
        <f t="array" ref="G153">_xlfn.XLOOKUP(A153&amp;B153,Лист2!A:A&amp;Лист2!B:B,Лист2!E:E,0,0)</f>
        <v>17420</v>
      </c>
      <c r="H153" s="27">
        <f t="shared" si="4"/>
        <v>2741.3</v>
      </c>
      <c r="I153">
        <f t="shared" si="5"/>
        <v>18</v>
      </c>
    </row>
    <row r="154" spans="1:9" ht="14.25" customHeight="1" x14ac:dyDescent="0.45">
      <c r="A154" s="8">
        <v>43981</v>
      </c>
      <c r="B154" s="3" t="s">
        <v>14</v>
      </c>
      <c r="C154" s="3">
        <v>364882.5</v>
      </c>
      <c r="D154" s="3">
        <v>35724493.5</v>
      </c>
      <c r="E154" s="4" cm="1">
        <f t="array" ref="E154">_xlfn.XLOOKUP(A154&amp;B154,Лист2!A:A&amp;Лист2!B:B,Лист2!C:C,0,0)</f>
        <v>129</v>
      </c>
      <c r="F154" s="4" cm="1">
        <f t="array" ref="F154">_xlfn.XLOOKUP(A154&amp;B154,Лист2!A:A&amp;Лист2!B:B,Лист2!D:D,0,0)</f>
        <v>20243</v>
      </c>
      <c r="G154" s="4" cm="1">
        <f t="array" ref="G154">_xlfn.XLOOKUP(A154&amp;B154,Лист2!A:A&amp;Лист2!B:B,Лист2!E:E,0,0)</f>
        <v>18711</v>
      </c>
      <c r="H154" s="27">
        <f t="shared" si="4"/>
        <v>2828.5</v>
      </c>
      <c r="I154">
        <f t="shared" si="5"/>
        <v>22</v>
      </c>
    </row>
    <row r="155" spans="1:9" ht="14.25" customHeight="1" x14ac:dyDescent="0.45">
      <c r="A155" s="9">
        <v>43957</v>
      </c>
      <c r="B155" s="5" t="s">
        <v>15</v>
      </c>
      <c r="C155" s="5">
        <v>355278</v>
      </c>
      <c r="D155" s="5">
        <v>38092344</v>
      </c>
      <c r="E155" s="4" cm="1">
        <f t="array" ref="E155">_xlfn.XLOOKUP(A155&amp;B155,Лист2!A:A&amp;Лист2!B:B,Лист2!C:C,0,0)</f>
        <v>125</v>
      </c>
      <c r="F155" s="4" cm="1">
        <f t="array" ref="F155">_xlfn.XLOOKUP(A155&amp;B155,Лист2!A:A&amp;Лист2!B:B,Лист2!D:D,0,0)</f>
        <v>20218</v>
      </c>
      <c r="G155" s="4" cm="1">
        <f t="array" ref="G155">_xlfn.XLOOKUP(A155&amp;B155,Лист2!A:A&amp;Лист2!B:B,Лист2!E:E,0,0)</f>
        <v>18647</v>
      </c>
      <c r="H155" s="27">
        <f t="shared" si="4"/>
        <v>2842.2</v>
      </c>
      <c r="I155">
        <f t="shared" si="5"/>
        <v>19</v>
      </c>
    </row>
    <row r="156" spans="1:9" ht="14.25" customHeight="1" x14ac:dyDescent="0.45">
      <c r="A156" s="8">
        <v>43974</v>
      </c>
      <c r="B156" s="3" t="s">
        <v>15</v>
      </c>
      <c r="C156" s="3">
        <v>456885</v>
      </c>
      <c r="D156" s="3">
        <v>46408080</v>
      </c>
      <c r="E156" s="4" cm="1">
        <f t="array" ref="E156">_xlfn.XLOOKUP(A156&amp;B156,Лист2!A:A&amp;Лист2!B:B,Лист2!C:C,0,0)</f>
        <v>125</v>
      </c>
      <c r="F156" s="4" cm="1">
        <f t="array" ref="F156">_xlfn.XLOOKUP(A156&amp;B156,Лист2!A:A&amp;Лист2!B:B,Лист2!D:D,0,0)</f>
        <v>24574</v>
      </c>
      <c r="G156" s="4" cm="1">
        <f t="array" ref="G156">_xlfn.XLOOKUP(A156&amp;B156,Лист2!A:A&amp;Лист2!B:B,Лист2!E:E,0,0)</f>
        <v>22609</v>
      </c>
      <c r="H156" s="27">
        <f t="shared" si="4"/>
        <v>3655.1</v>
      </c>
      <c r="I156">
        <f t="shared" si="5"/>
        <v>21</v>
      </c>
    </row>
    <row r="157" spans="1:9" ht="14.25" customHeight="1" x14ac:dyDescent="0.45">
      <c r="A157" s="9">
        <v>43979</v>
      </c>
      <c r="B157" s="5" t="s">
        <v>14</v>
      </c>
      <c r="C157" s="5">
        <v>278491.5</v>
      </c>
      <c r="D157" s="5">
        <v>28151004.75</v>
      </c>
      <c r="E157" s="4" cm="1">
        <f t="array" ref="E157">_xlfn.XLOOKUP(A157&amp;B157,Лист2!A:A&amp;Лист2!B:B,Лист2!C:C,0,0)</f>
        <v>129</v>
      </c>
      <c r="F157" s="4" cm="1">
        <f t="array" ref="F157">_xlfn.XLOOKUP(A157&amp;B157,Лист2!A:A&amp;Лист2!B:B,Лист2!D:D,0,0)</f>
        <v>16453</v>
      </c>
      <c r="G157" s="4" cm="1">
        <f t="array" ref="G157">_xlfn.XLOOKUP(A157&amp;B157,Лист2!A:A&amp;Лист2!B:B,Лист2!E:E,0,0)</f>
        <v>15289</v>
      </c>
      <c r="H157" s="27">
        <f t="shared" si="4"/>
        <v>2158.8000000000002</v>
      </c>
      <c r="I157">
        <f t="shared" si="5"/>
        <v>22</v>
      </c>
    </row>
    <row r="158" spans="1:9" ht="14.25" customHeight="1" x14ac:dyDescent="0.45">
      <c r="A158" s="8">
        <v>43976</v>
      </c>
      <c r="B158" s="3" t="s">
        <v>15</v>
      </c>
      <c r="C158" s="3">
        <v>349734</v>
      </c>
      <c r="D158" s="3">
        <v>36883428</v>
      </c>
      <c r="E158" s="4" cm="1">
        <f t="array" ref="E158">_xlfn.XLOOKUP(A158&amp;B158,Лист2!A:A&amp;Лист2!B:B,Лист2!C:C,0,0)</f>
        <v>124</v>
      </c>
      <c r="F158" s="4" cm="1">
        <f t="array" ref="F158">_xlfn.XLOOKUP(A158&amp;B158,Лист2!A:A&amp;Лист2!B:B,Лист2!D:D,0,0)</f>
        <v>20358</v>
      </c>
      <c r="G158" s="4" cm="1">
        <f t="array" ref="G158">_xlfn.XLOOKUP(A158&amp;B158,Лист2!A:A&amp;Лист2!B:B,Лист2!E:E,0,0)</f>
        <v>18890</v>
      </c>
      <c r="H158" s="27">
        <f t="shared" si="4"/>
        <v>2820.4</v>
      </c>
      <c r="I158">
        <f t="shared" si="5"/>
        <v>22</v>
      </c>
    </row>
    <row r="159" spans="1:9" ht="14.25" customHeight="1" x14ac:dyDescent="0.45">
      <c r="A159" s="9">
        <v>43951</v>
      </c>
      <c r="B159" s="5" t="s">
        <v>15</v>
      </c>
      <c r="C159" s="5">
        <v>401580</v>
      </c>
      <c r="D159" s="5">
        <v>43028734.5</v>
      </c>
      <c r="E159" s="4" cm="1">
        <f t="array" ref="E159">_xlfn.XLOOKUP(A159&amp;B159,Лист2!A:A&amp;Лист2!B:B,Лист2!C:C,0,0)</f>
        <v>125</v>
      </c>
      <c r="F159" s="4" cm="1">
        <f t="array" ref="F159">_xlfn.XLOOKUP(A159&amp;B159,Лист2!A:A&amp;Лист2!B:B,Лист2!D:D,0,0)</f>
        <v>22368</v>
      </c>
      <c r="G159" s="4" cm="1">
        <f t="array" ref="G159">_xlfn.XLOOKUP(A159&amp;B159,Лист2!A:A&amp;Лист2!B:B,Лист2!E:E,0,0)</f>
        <v>20625</v>
      </c>
      <c r="H159" s="27">
        <f t="shared" si="4"/>
        <v>3212.6</v>
      </c>
      <c r="I159">
        <f t="shared" si="5"/>
        <v>18</v>
      </c>
    </row>
    <row r="160" spans="1:9" ht="14.25" customHeight="1" x14ac:dyDescent="0.45">
      <c r="A160" s="8">
        <v>43961</v>
      </c>
      <c r="B160" s="3" t="s">
        <v>15</v>
      </c>
      <c r="C160" s="3">
        <v>368649</v>
      </c>
      <c r="D160" s="3">
        <v>39010875</v>
      </c>
      <c r="E160" s="4" cm="1">
        <f t="array" ref="E160">_xlfn.XLOOKUP(A160&amp;B160,Лист2!A:A&amp;Лист2!B:B,Лист2!C:C,0,0)</f>
        <v>125</v>
      </c>
      <c r="F160" s="4" cm="1">
        <f t="array" ref="F160">_xlfn.XLOOKUP(A160&amp;B160,Лист2!A:A&amp;Лист2!B:B,Лист2!D:D,0,0)</f>
        <v>20368</v>
      </c>
      <c r="G160" s="4" cm="1">
        <f t="array" ref="G160">_xlfn.XLOOKUP(A160&amp;B160,Лист2!A:A&amp;Лист2!B:B,Лист2!E:E,0,0)</f>
        <v>18884</v>
      </c>
      <c r="H160" s="27">
        <f t="shared" si="4"/>
        <v>2949.2</v>
      </c>
      <c r="I160">
        <f t="shared" si="5"/>
        <v>19</v>
      </c>
    </row>
    <row r="161" spans="1:9" ht="14.25" customHeight="1" x14ac:dyDescent="0.45">
      <c r="A161" s="9">
        <v>43959</v>
      </c>
      <c r="B161" s="5" t="s">
        <v>15</v>
      </c>
      <c r="C161" s="5">
        <v>463530</v>
      </c>
      <c r="D161" s="5">
        <v>49123180.5</v>
      </c>
      <c r="E161" s="4" cm="1">
        <f t="array" ref="E161">_xlfn.XLOOKUP(A161&amp;B161,Лист2!A:A&amp;Лист2!B:B,Лист2!C:C,0,0)</f>
        <v>125</v>
      </c>
      <c r="F161" s="4" cm="1">
        <f t="array" ref="F161">_xlfn.XLOOKUP(A161&amp;B161,Лист2!A:A&amp;Лист2!B:B,Лист2!D:D,0,0)</f>
        <v>24620</v>
      </c>
      <c r="G161" s="4" cm="1">
        <f t="array" ref="G161">_xlfn.XLOOKUP(A161&amp;B161,Лист2!A:A&amp;Лист2!B:B,Лист2!E:E,0,0)</f>
        <v>22641</v>
      </c>
      <c r="H161" s="27">
        <f t="shared" si="4"/>
        <v>3708.2</v>
      </c>
      <c r="I161">
        <f t="shared" si="5"/>
        <v>19</v>
      </c>
    </row>
    <row r="162" spans="1:9" ht="14.25" customHeight="1" x14ac:dyDescent="0.45">
      <c r="A162" s="8">
        <v>43958</v>
      </c>
      <c r="B162" s="3" t="s">
        <v>15</v>
      </c>
      <c r="C162" s="3">
        <v>319110</v>
      </c>
      <c r="D162" s="3">
        <v>33763989</v>
      </c>
      <c r="E162" s="4" cm="1">
        <f t="array" ref="E162">_xlfn.XLOOKUP(A162&amp;B162,Лист2!A:A&amp;Лист2!B:B,Лист2!C:C,0,0)</f>
        <v>125</v>
      </c>
      <c r="F162" s="4" cm="1">
        <f t="array" ref="F162">_xlfn.XLOOKUP(A162&amp;B162,Лист2!A:A&amp;Лист2!B:B,Лист2!D:D,0,0)</f>
        <v>18014</v>
      </c>
      <c r="G162" s="4" cm="1">
        <f t="array" ref="G162">_xlfn.XLOOKUP(A162&amp;B162,Лист2!A:A&amp;Лист2!B:B,Лист2!E:E,0,0)</f>
        <v>16675</v>
      </c>
      <c r="H162" s="27">
        <f t="shared" si="4"/>
        <v>2552.9</v>
      </c>
      <c r="I162">
        <f t="shared" si="5"/>
        <v>19</v>
      </c>
    </row>
    <row r="163" spans="1:9" ht="14.25" customHeight="1" x14ac:dyDescent="0.45">
      <c r="A163" s="9">
        <v>43975</v>
      </c>
      <c r="B163" s="5" t="s">
        <v>15</v>
      </c>
      <c r="C163" s="5">
        <v>375744</v>
      </c>
      <c r="D163" s="5">
        <v>38191381.5</v>
      </c>
      <c r="E163" s="4" cm="1">
        <f t="array" ref="E163">_xlfn.XLOOKUP(A163&amp;B163,Лист2!A:A&amp;Лист2!B:B,Лист2!C:C,0,0)</f>
        <v>125</v>
      </c>
      <c r="F163" s="4" cm="1">
        <f t="array" ref="F163">_xlfn.XLOOKUP(A163&amp;B163,Лист2!A:A&amp;Лист2!B:B,Лист2!D:D,0,0)</f>
        <v>21004</v>
      </c>
      <c r="G163" s="4" cm="1">
        <f t="array" ref="G163">_xlfn.XLOOKUP(A163&amp;B163,Лист2!A:A&amp;Лист2!B:B,Лист2!E:E,0,0)</f>
        <v>19556</v>
      </c>
      <c r="H163" s="27">
        <f t="shared" si="4"/>
        <v>3006</v>
      </c>
      <c r="I163">
        <f t="shared" si="5"/>
        <v>21</v>
      </c>
    </row>
    <row r="164" spans="1:9" ht="14.25" customHeight="1" x14ac:dyDescent="0.45">
      <c r="A164" s="8">
        <v>43967</v>
      </c>
      <c r="B164" s="3" t="s">
        <v>16</v>
      </c>
      <c r="C164" s="3">
        <v>81331.5</v>
      </c>
      <c r="D164" s="3">
        <v>6652179</v>
      </c>
      <c r="E164" s="4" cm="1">
        <f t="array" ref="E164">_xlfn.XLOOKUP(A164&amp;B164,Лист2!A:A&amp;Лист2!B:B,Лист2!C:C,0,0)</f>
        <v>36</v>
      </c>
      <c r="F164" s="4" cm="1">
        <f t="array" ref="F164">_xlfn.XLOOKUP(A164&amp;B164,Лист2!A:A&amp;Лист2!B:B,Лист2!D:D,0,0)</f>
        <v>5286</v>
      </c>
      <c r="G164" s="4" cm="1">
        <f t="array" ref="G164">_xlfn.XLOOKUP(A164&amp;B164,Лист2!A:A&amp;Лист2!B:B,Лист2!E:E,0,0)</f>
        <v>4867</v>
      </c>
      <c r="H164" s="27">
        <f t="shared" si="4"/>
        <v>2259.1999999999998</v>
      </c>
      <c r="I164">
        <f t="shared" si="5"/>
        <v>20</v>
      </c>
    </row>
    <row r="165" spans="1:9" ht="14.25" customHeight="1" x14ac:dyDescent="0.45">
      <c r="A165" s="9">
        <v>43970</v>
      </c>
      <c r="B165" s="5" t="s">
        <v>16</v>
      </c>
      <c r="C165" s="5">
        <v>75796.5</v>
      </c>
      <c r="D165" s="5">
        <v>6173463</v>
      </c>
      <c r="E165" s="4" cm="1">
        <f t="array" ref="E165">_xlfn.XLOOKUP(A165&amp;B165,Лист2!A:A&amp;Лист2!B:B,Лист2!C:C,0,0)</f>
        <v>36</v>
      </c>
      <c r="F165" s="4" cm="1">
        <f t="array" ref="F165">_xlfn.XLOOKUP(A165&amp;B165,Лист2!A:A&amp;Лист2!B:B,Лист2!D:D,0,0)</f>
        <v>5094</v>
      </c>
      <c r="G165" s="4" cm="1">
        <f t="array" ref="G165">_xlfn.XLOOKUP(A165&amp;B165,Лист2!A:A&amp;Лист2!B:B,Лист2!E:E,0,0)</f>
        <v>4716</v>
      </c>
      <c r="H165" s="27">
        <f t="shared" si="4"/>
        <v>2105.5</v>
      </c>
      <c r="I165">
        <f t="shared" si="5"/>
        <v>21</v>
      </c>
    </row>
    <row r="166" spans="1:9" ht="14.25" customHeight="1" x14ac:dyDescent="0.45">
      <c r="A166" s="8">
        <v>43968</v>
      </c>
      <c r="B166" s="3" t="s">
        <v>16</v>
      </c>
      <c r="C166" s="3">
        <v>72861</v>
      </c>
      <c r="D166" s="3">
        <v>5952802.5</v>
      </c>
      <c r="E166" s="4" cm="1">
        <f t="array" ref="E166">_xlfn.XLOOKUP(A166&amp;B166,Лист2!A:A&amp;Лист2!B:B,Лист2!C:C,0,0)</f>
        <v>36</v>
      </c>
      <c r="F166" s="4" cm="1">
        <f t="array" ref="F166">_xlfn.XLOOKUP(A166&amp;B166,Лист2!A:A&amp;Лист2!B:B,Лист2!D:D,0,0)</f>
        <v>4918</v>
      </c>
      <c r="G166" s="4" cm="1">
        <f t="array" ref="G166">_xlfn.XLOOKUP(A166&amp;B166,Лист2!A:A&amp;Лист2!B:B,Лист2!E:E,0,0)</f>
        <v>4554</v>
      </c>
      <c r="H166" s="27">
        <f t="shared" si="4"/>
        <v>2023.9</v>
      </c>
      <c r="I166">
        <f t="shared" si="5"/>
        <v>20</v>
      </c>
    </row>
    <row r="167" spans="1:9" ht="14.25" customHeight="1" x14ac:dyDescent="0.45">
      <c r="A167" s="9">
        <v>43960</v>
      </c>
      <c r="B167" s="5" t="s">
        <v>16</v>
      </c>
      <c r="C167" s="5">
        <v>83373</v>
      </c>
      <c r="D167" s="5">
        <v>7253427</v>
      </c>
      <c r="E167" s="4" cm="1">
        <f t="array" ref="E167">_xlfn.XLOOKUP(A167&amp;B167,Лист2!A:A&amp;Лист2!B:B,Лист2!C:C,0,0)</f>
        <v>36</v>
      </c>
      <c r="F167" s="4" cm="1">
        <f t="array" ref="F167">_xlfn.XLOOKUP(A167&amp;B167,Лист2!A:A&amp;Лист2!B:B,Лист2!D:D,0,0)</f>
        <v>5413</v>
      </c>
      <c r="G167" s="4" cm="1">
        <f t="array" ref="G167">_xlfn.XLOOKUP(A167&amp;B167,Лист2!A:A&amp;Лист2!B:B,Лист2!E:E,0,0)</f>
        <v>4959</v>
      </c>
      <c r="H167" s="27">
        <f t="shared" si="4"/>
        <v>2315.9</v>
      </c>
      <c r="I167">
        <f t="shared" si="5"/>
        <v>19</v>
      </c>
    </row>
    <row r="168" spans="1:9" ht="14.25" customHeight="1" x14ac:dyDescent="0.45">
      <c r="A168" s="8">
        <v>43955</v>
      </c>
      <c r="B168" s="3" t="s">
        <v>16</v>
      </c>
      <c r="C168" s="3">
        <v>64108.5</v>
      </c>
      <c r="D168" s="3">
        <v>5561452.5</v>
      </c>
      <c r="E168" s="4" cm="1">
        <f t="array" ref="E168">_xlfn.XLOOKUP(A168&amp;B168,Лист2!A:A&amp;Лист2!B:B,Лист2!C:C,0,0)</f>
        <v>36</v>
      </c>
      <c r="F168" s="4" cm="1">
        <f t="array" ref="F168">_xlfn.XLOOKUP(A168&amp;B168,Лист2!A:A&amp;Лист2!B:B,Лист2!D:D,0,0)</f>
        <v>4508</v>
      </c>
      <c r="G168" s="4" cm="1">
        <f t="array" ref="G168">_xlfn.XLOOKUP(A168&amp;B168,Лист2!A:A&amp;Лист2!B:B,Лист2!E:E,0,0)</f>
        <v>4149</v>
      </c>
      <c r="H168" s="27">
        <f t="shared" si="4"/>
        <v>1780.8</v>
      </c>
      <c r="I168">
        <f t="shared" si="5"/>
        <v>19</v>
      </c>
    </row>
    <row r="169" spans="1:9" ht="14.25" customHeight="1" x14ac:dyDescent="0.45">
      <c r="A169" s="9">
        <v>43950</v>
      </c>
      <c r="B169" s="5" t="s">
        <v>16</v>
      </c>
      <c r="C169" s="5">
        <v>74707.5</v>
      </c>
      <c r="D169" s="5">
        <v>6454458</v>
      </c>
      <c r="E169" s="4" cm="1">
        <f t="array" ref="E169">_xlfn.XLOOKUP(A169&amp;B169,Лист2!A:A&amp;Лист2!B:B,Лист2!C:C,0,0)</f>
        <v>36</v>
      </c>
      <c r="F169" s="4" cm="1">
        <f t="array" ref="F169">_xlfn.XLOOKUP(A169&amp;B169,Лист2!A:A&amp;Лист2!B:B,Лист2!D:D,0,0)</f>
        <v>4937</v>
      </c>
      <c r="G169" s="4" cm="1">
        <f t="array" ref="G169">_xlfn.XLOOKUP(A169&amp;B169,Лист2!A:A&amp;Лист2!B:B,Лист2!E:E,0,0)</f>
        <v>4561</v>
      </c>
      <c r="H169" s="27">
        <f t="shared" si="4"/>
        <v>2075.1999999999998</v>
      </c>
      <c r="I169">
        <f t="shared" si="5"/>
        <v>18</v>
      </c>
    </row>
    <row r="170" spans="1:9" ht="14.25" customHeight="1" x14ac:dyDescent="0.45">
      <c r="A170" s="8">
        <v>43953</v>
      </c>
      <c r="B170" s="3" t="s">
        <v>16</v>
      </c>
      <c r="C170" s="3">
        <v>46216.5</v>
      </c>
      <c r="D170" s="3">
        <v>4118251.5</v>
      </c>
      <c r="E170" s="4" cm="1">
        <f t="array" ref="E170">_xlfn.XLOOKUP(A170&amp;B170,Лист2!A:A&amp;Лист2!B:B,Лист2!C:C,0,0)</f>
        <v>36</v>
      </c>
      <c r="F170" s="4" cm="1">
        <f t="array" ref="F170">_xlfn.XLOOKUP(A170&amp;B170,Лист2!A:A&amp;Лист2!B:B,Лист2!D:D,0,0)</f>
        <v>3442</v>
      </c>
      <c r="G170" s="4" cm="1">
        <f t="array" ref="G170">_xlfn.XLOOKUP(A170&amp;B170,Лист2!A:A&amp;Лист2!B:B,Лист2!E:E,0,0)</f>
        <v>3147</v>
      </c>
      <c r="H170" s="27">
        <f t="shared" si="4"/>
        <v>1283.8</v>
      </c>
      <c r="I170">
        <f t="shared" si="5"/>
        <v>18</v>
      </c>
    </row>
    <row r="171" spans="1:9" ht="14.25" customHeight="1" x14ac:dyDescent="0.45">
      <c r="A171" s="9">
        <v>43977</v>
      </c>
      <c r="B171" s="5" t="s">
        <v>16</v>
      </c>
      <c r="C171" s="5">
        <v>67726.5</v>
      </c>
      <c r="D171" s="5">
        <v>5864989.5</v>
      </c>
      <c r="E171" s="4" cm="1">
        <f t="array" ref="E171">_xlfn.XLOOKUP(A171&amp;B171,Лист2!A:A&amp;Лист2!B:B,Лист2!C:C,0,0)</f>
        <v>36</v>
      </c>
      <c r="F171" s="4" cm="1">
        <f t="array" ref="F171">_xlfn.XLOOKUP(A171&amp;B171,Лист2!A:A&amp;Лист2!B:B,Лист2!D:D,0,0)</f>
        <v>4770</v>
      </c>
      <c r="G171" s="4" cm="1">
        <f t="array" ref="G171">_xlfn.XLOOKUP(A171&amp;B171,Лист2!A:A&amp;Лист2!B:B,Лист2!E:E,0,0)</f>
        <v>4424</v>
      </c>
      <c r="H171" s="27">
        <f t="shared" si="4"/>
        <v>1881.3</v>
      </c>
      <c r="I171">
        <f t="shared" si="5"/>
        <v>22</v>
      </c>
    </row>
    <row r="172" spans="1:9" ht="14.25" customHeight="1" x14ac:dyDescent="0.45">
      <c r="A172" s="8">
        <v>43952</v>
      </c>
      <c r="B172" s="3" t="s">
        <v>16</v>
      </c>
      <c r="C172" s="3">
        <v>82228.5</v>
      </c>
      <c r="D172" s="3">
        <v>7032225</v>
      </c>
      <c r="E172" s="4" cm="1">
        <f t="array" ref="E172">_xlfn.XLOOKUP(A172&amp;B172,Лист2!A:A&amp;Лист2!B:B,Лист2!C:C,0,0)</f>
        <v>36</v>
      </c>
      <c r="F172" s="4" cm="1">
        <f t="array" ref="F172">_xlfn.XLOOKUP(A172&amp;B172,Лист2!A:A&amp;Лист2!B:B,Лист2!D:D,0,0)</f>
        <v>5457</v>
      </c>
      <c r="G172" s="4" cm="1">
        <f t="array" ref="G172">_xlfn.XLOOKUP(A172&amp;B172,Лист2!A:A&amp;Лист2!B:B,Лист2!E:E,0,0)</f>
        <v>4916</v>
      </c>
      <c r="H172" s="27">
        <f t="shared" si="4"/>
        <v>2284.1</v>
      </c>
      <c r="I172">
        <f t="shared" si="5"/>
        <v>18</v>
      </c>
    </row>
    <row r="173" spans="1:9" ht="14.25" customHeight="1" x14ac:dyDescent="0.45">
      <c r="A173" s="9">
        <v>43963</v>
      </c>
      <c r="B173" s="5" t="s">
        <v>16</v>
      </c>
      <c r="C173" s="5">
        <v>64390.5</v>
      </c>
      <c r="D173" s="5">
        <v>5523145.5</v>
      </c>
      <c r="E173" s="4" cm="1">
        <f t="array" ref="E173">_xlfn.XLOOKUP(A173&amp;B173,Лист2!A:A&amp;Лист2!B:B,Лист2!C:C,0,0)</f>
        <v>36</v>
      </c>
      <c r="F173" s="4" cm="1">
        <f t="array" ref="F173">_xlfn.XLOOKUP(A173&amp;B173,Лист2!A:A&amp;Лист2!B:B,Лист2!D:D,0,0)</f>
        <v>4418</v>
      </c>
      <c r="G173" s="4" cm="1">
        <f t="array" ref="G173">_xlfn.XLOOKUP(A173&amp;B173,Лист2!A:A&amp;Лист2!B:B,Лист2!E:E,0,0)</f>
        <v>4088</v>
      </c>
      <c r="H173" s="27">
        <f t="shared" si="4"/>
        <v>1788.6</v>
      </c>
      <c r="I173">
        <f t="shared" si="5"/>
        <v>20</v>
      </c>
    </row>
    <row r="174" spans="1:9" ht="14.25" customHeight="1" x14ac:dyDescent="0.45">
      <c r="A174" s="8">
        <v>43972</v>
      </c>
      <c r="B174" s="3" t="s">
        <v>16</v>
      </c>
      <c r="C174" s="3">
        <v>73126.5</v>
      </c>
      <c r="D174" s="3">
        <v>5864085</v>
      </c>
      <c r="E174" s="4" cm="1">
        <f t="array" ref="E174">_xlfn.XLOOKUP(A174&amp;B174,Лист2!A:A&amp;Лист2!B:B,Лист2!C:C,0,0)</f>
        <v>36</v>
      </c>
      <c r="F174" s="4" cm="1">
        <f t="array" ref="F174">_xlfn.XLOOKUP(A174&amp;B174,Лист2!A:A&amp;Лист2!B:B,Лист2!D:D,0,0)</f>
        <v>4816</v>
      </c>
      <c r="G174" s="4" cm="1">
        <f t="array" ref="G174">_xlfn.XLOOKUP(A174&amp;B174,Лист2!A:A&amp;Лист2!B:B,Лист2!E:E,0,0)</f>
        <v>4452</v>
      </c>
      <c r="H174" s="27">
        <f t="shared" si="4"/>
        <v>2031.3</v>
      </c>
      <c r="I174">
        <f t="shared" si="5"/>
        <v>21</v>
      </c>
    </row>
    <row r="175" spans="1:9" ht="14.25" customHeight="1" x14ac:dyDescent="0.45">
      <c r="A175" s="9">
        <v>43971</v>
      </c>
      <c r="B175" s="5" t="s">
        <v>16</v>
      </c>
      <c r="C175" s="5">
        <v>99631.5</v>
      </c>
      <c r="D175" s="5">
        <v>7121946</v>
      </c>
      <c r="E175" s="4" cm="1">
        <f t="array" ref="E175">_xlfn.XLOOKUP(A175&amp;B175,Лист2!A:A&amp;Лист2!B:B,Лист2!C:C,0,0)</f>
        <v>36</v>
      </c>
      <c r="F175" s="4" cm="1">
        <f t="array" ref="F175">_xlfn.XLOOKUP(A175&amp;B175,Лист2!A:A&amp;Лист2!B:B,Лист2!D:D,0,0)</f>
        <v>5914</v>
      </c>
      <c r="G175" s="4" cm="1">
        <f t="array" ref="G175">_xlfn.XLOOKUP(A175&amp;B175,Лист2!A:A&amp;Лист2!B:B,Лист2!E:E,0,0)</f>
        <v>5384</v>
      </c>
      <c r="H175" s="27">
        <f t="shared" si="4"/>
        <v>2767.5</v>
      </c>
      <c r="I175">
        <f t="shared" si="5"/>
        <v>21</v>
      </c>
    </row>
    <row r="176" spans="1:9" ht="14.25" customHeight="1" x14ac:dyDescent="0.45">
      <c r="A176" s="8">
        <v>43956</v>
      </c>
      <c r="B176" s="3" t="s">
        <v>16</v>
      </c>
      <c r="C176" s="3">
        <v>66396</v>
      </c>
      <c r="D176" s="3">
        <v>5770539</v>
      </c>
      <c r="E176" s="4" cm="1">
        <f t="array" ref="E176">_xlfn.XLOOKUP(A176&amp;B176,Лист2!A:A&amp;Лист2!B:B,Лист2!C:C,0,0)</f>
        <v>36</v>
      </c>
      <c r="F176" s="4" cm="1">
        <f t="array" ref="F176">_xlfn.XLOOKUP(A176&amp;B176,Лист2!A:A&amp;Лист2!B:B,Лист2!D:D,0,0)</f>
        <v>4575</v>
      </c>
      <c r="G176" s="4" cm="1">
        <f t="array" ref="G176">_xlfn.XLOOKUP(A176&amp;B176,Лист2!A:A&amp;Лист2!B:B,Лист2!E:E,0,0)</f>
        <v>4206</v>
      </c>
      <c r="H176" s="27">
        <f t="shared" si="4"/>
        <v>1844.3</v>
      </c>
      <c r="I176">
        <f t="shared" si="5"/>
        <v>19</v>
      </c>
    </row>
    <row r="177" spans="1:9" ht="14.25" customHeight="1" x14ac:dyDescent="0.45">
      <c r="A177" s="9">
        <v>43949</v>
      </c>
      <c r="B177" s="5" t="s">
        <v>16</v>
      </c>
      <c r="C177" s="5">
        <v>73147.5</v>
      </c>
      <c r="D177" s="5">
        <v>6288246</v>
      </c>
      <c r="E177" s="4" cm="1">
        <f t="array" ref="E177">_xlfn.XLOOKUP(A177&amp;B177,Лист2!A:A&amp;Лист2!B:B,Лист2!C:C,0,0)</f>
        <v>36</v>
      </c>
      <c r="F177" s="4" cm="1">
        <f t="array" ref="F177">_xlfn.XLOOKUP(A177&amp;B177,Лист2!A:A&amp;Лист2!B:B,Лист2!D:D,0,0)</f>
        <v>4923</v>
      </c>
      <c r="G177" s="4" cm="1">
        <f t="array" ref="G177">_xlfn.XLOOKUP(A177&amp;B177,Лист2!A:A&amp;Лист2!B:B,Лист2!E:E,0,0)</f>
        <v>4560</v>
      </c>
      <c r="H177" s="27">
        <f t="shared" si="4"/>
        <v>2031.9</v>
      </c>
      <c r="I177">
        <f t="shared" si="5"/>
        <v>18</v>
      </c>
    </row>
    <row r="178" spans="1:9" ht="14.25" customHeight="1" x14ac:dyDescent="0.45">
      <c r="A178" s="8">
        <v>43964</v>
      </c>
      <c r="B178" s="3" t="s">
        <v>16</v>
      </c>
      <c r="C178" s="3">
        <v>73062</v>
      </c>
      <c r="D178" s="3">
        <v>6333828</v>
      </c>
      <c r="E178" s="4" cm="1">
        <f t="array" ref="E178">_xlfn.XLOOKUP(A178&amp;B178,Лист2!A:A&amp;Лист2!B:B,Лист2!C:C,0,0)</f>
        <v>36</v>
      </c>
      <c r="F178" s="4" cm="1">
        <f t="array" ref="F178">_xlfn.XLOOKUP(A178&amp;B178,Лист2!A:A&amp;Лист2!B:B,Лист2!D:D,0,0)</f>
        <v>4967</v>
      </c>
      <c r="G178" s="4" cm="1">
        <f t="array" ref="G178">_xlfn.XLOOKUP(A178&amp;B178,Лист2!A:A&amp;Лист2!B:B,Лист2!E:E,0,0)</f>
        <v>4583</v>
      </c>
      <c r="H178" s="27">
        <f t="shared" si="4"/>
        <v>2029.5</v>
      </c>
      <c r="I178">
        <f t="shared" si="5"/>
        <v>20</v>
      </c>
    </row>
    <row r="179" spans="1:9" ht="14.25" customHeight="1" x14ac:dyDescent="0.45">
      <c r="A179" s="9">
        <v>43982</v>
      </c>
      <c r="B179" s="5" t="s">
        <v>15</v>
      </c>
      <c r="C179" s="5">
        <v>379663.5</v>
      </c>
      <c r="D179" s="5">
        <v>39380178</v>
      </c>
      <c r="E179" s="4" cm="1">
        <f t="array" ref="E179">_xlfn.XLOOKUP(A179&amp;B179,Лист2!A:A&amp;Лист2!B:B,Лист2!C:C,0,0)</f>
        <v>124</v>
      </c>
      <c r="F179" s="4" cm="1">
        <f t="array" ref="F179">_xlfn.XLOOKUP(A179&amp;B179,Лист2!A:A&amp;Лист2!B:B,Лист2!D:D,0,0)</f>
        <v>21392</v>
      </c>
      <c r="G179" s="4" cm="1">
        <f t="array" ref="G179">_xlfn.XLOOKUP(A179&amp;B179,Лист2!A:A&amp;Лист2!B:B,Лист2!E:E,0,0)</f>
        <v>19869</v>
      </c>
      <c r="H179" s="27">
        <f t="shared" si="4"/>
        <v>3061.8</v>
      </c>
      <c r="I179">
        <f t="shared" si="5"/>
        <v>22</v>
      </c>
    </row>
    <row r="180" spans="1:9" ht="14.25" customHeight="1" x14ac:dyDescent="0.45">
      <c r="A180" s="8">
        <v>43954</v>
      </c>
      <c r="B180" s="3" t="s">
        <v>16</v>
      </c>
      <c r="C180" s="3">
        <v>70581</v>
      </c>
      <c r="D180" s="3">
        <v>6221320.5</v>
      </c>
      <c r="E180" s="4" cm="1">
        <f t="array" ref="E180">_xlfn.XLOOKUP(A180&amp;B180,Лист2!A:A&amp;Лист2!B:B,Лист2!C:C,0,0)</f>
        <v>36</v>
      </c>
      <c r="F180" s="4" cm="1">
        <f t="array" ref="F180">_xlfn.XLOOKUP(A180&amp;B180,Лист2!A:A&amp;Лист2!B:B,Лист2!D:D,0,0)</f>
        <v>4751</v>
      </c>
      <c r="G180" s="4" cm="1">
        <f t="array" ref="G180">_xlfn.XLOOKUP(A180&amp;B180,Лист2!A:A&amp;Лист2!B:B,Лист2!E:E,0,0)</f>
        <v>4370</v>
      </c>
      <c r="H180" s="27">
        <f t="shared" si="4"/>
        <v>1960.6</v>
      </c>
      <c r="I180">
        <f t="shared" si="5"/>
        <v>18</v>
      </c>
    </row>
    <row r="181" spans="1:9" ht="14.25" customHeight="1" x14ac:dyDescent="0.45">
      <c r="A181" s="9">
        <v>43981</v>
      </c>
      <c r="B181" s="5" t="s">
        <v>15</v>
      </c>
      <c r="C181" s="5">
        <v>453123</v>
      </c>
      <c r="D181" s="5">
        <v>46370904</v>
      </c>
      <c r="E181" s="4" cm="1">
        <f t="array" ref="E181">_xlfn.XLOOKUP(A181&amp;B181,Лист2!A:A&amp;Лист2!B:B,Лист2!C:C,0,0)</f>
        <v>124</v>
      </c>
      <c r="F181" s="4" cm="1">
        <f t="array" ref="F181">_xlfn.XLOOKUP(A181&amp;B181,Лист2!A:A&amp;Лист2!B:B,Лист2!D:D,0,0)</f>
        <v>24325</v>
      </c>
      <c r="G181" s="4" cm="1">
        <f t="array" ref="G181">_xlfn.XLOOKUP(A181&amp;B181,Лист2!A:A&amp;Лист2!B:B,Лист2!E:E,0,0)</f>
        <v>22469</v>
      </c>
      <c r="H181" s="27">
        <f t="shared" si="4"/>
        <v>3654.2</v>
      </c>
      <c r="I181">
        <f t="shared" si="5"/>
        <v>22</v>
      </c>
    </row>
    <row r="182" spans="1:9" ht="14.25" customHeight="1" x14ac:dyDescent="0.45">
      <c r="A182" s="8">
        <v>43957</v>
      </c>
      <c r="B182" s="3" t="s">
        <v>16</v>
      </c>
      <c r="C182" s="3">
        <v>63012</v>
      </c>
      <c r="D182" s="3">
        <v>5454121.5</v>
      </c>
      <c r="E182" s="4" cm="1">
        <f t="array" ref="E182">_xlfn.XLOOKUP(A182&amp;B182,Лист2!A:A&amp;Лист2!B:B,Лист2!C:C,0,0)</f>
        <v>36</v>
      </c>
      <c r="F182" s="4" cm="1">
        <f t="array" ref="F182">_xlfn.XLOOKUP(A182&amp;B182,Лист2!A:A&amp;Лист2!B:B,Лист2!D:D,0,0)</f>
        <v>4384</v>
      </c>
      <c r="G182" s="4" cm="1">
        <f t="array" ref="G182">_xlfn.XLOOKUP(A182&amp;B182,Лист2!A:A&amp;Лист2!B:B,Лист2!E:E,0,0)</f>
        <v>4025</v>
      </c>
      <c r="H182" s="27">
        <f t="shared" si="4"/>
        <v>1750.3</v>
      </c>
      <c r="I182">
        <f t="shared" si="5"/>
        <v>19</v>
      </c>
    </row>
    <row r="183" spans="1:9" ht="14.25" customHeight="1" x14ac:dyDescent="0.45">
      <c r="A183" s="9">
        <v>43974</v>
      </c>
      <c r="B183" s="5" t="s">
        <v>16</v>
      </c>
      <c r="C183" s="5">
        <v>89556</v>
      </c>
      <c r="D183" s="5">
        <v>7173117</v>
      </c>
      <c r="E183" s="4" cm="1">
        <f t="array" ref="E183">_xlfn.XLOOKUP(A183&amp;B183,Лист2!A:A&amp;Лист2!B:B,Лист2!C:C,0,0)</f>
        <v>36</v>
      </c>
      <c r="F183" s="4" cm="1">
        <f t="array" ref="F183">_xlfn.XLOOKUP(A183&amp;B183,Лист2!A:A&amp;Лист2!B:B,Лист2!D:D,0,0)</f>
        <v>5651</v>
      </c>
      <c r="G183" s="4" cm="1">
        <f t="array" ref="G183">_xlfn.XLOOKUP(A183&amp;B183,Лист2!A:A&amp;Лист2!B:B,Лист2!E:E,0,0)</f>
        <v>5212</v>
      </c>
      <c r="H183" s="27">
        <f t="shared" si="4"/>
        <v>2487.6999999999998</v>
      </c>
      <c r="I183">
        <f t="shared" si="5"/>
        <v>21</v>
      </c>
    </row>
    <row r="184" spans="1:9" ht="14.25" customHeight="1" x14ac:dyDescent="0.45">
      <c r="A184" s="8">
        <v>43979</v>
      </c>
      <c r="B184" s="3" t="s">
        <v>15</v>
      </c>
      <c r="C184" s="3">
        <v>364638</v>
      </c>
      <c r="D184" s="3">
        <v>37947688.5</v>
      </c>
      <c r="E184" s="4" cm="1">
        <f t="array" ref="E184">_xlfn.XLOOKUP(A184&amp;B184,Лист2!A:A&amp;Лист2!B:B,Лист2!C:C,0,0)</f>
        <v>124</v>
      </c>
      <c r="F184" s="4" cm="1">
        <f t="array" ref="F184">_xlfn.XLOOKUP(A184&amp;B184,Лист2!A:A&amp;Лист2!B:B,Лист2!D:D,0,0)</f>
        <v>20868</v>
      </c>
      <c r="G184" s="4" cm="1">
        <f t="array" ref="G184">_xlfn.XLOOKUP(A184&amp;B184,Лист2!A:A&amp;Лист2!B:B,Лист2!E:E,0,0)</f>
        <v>19342</v>
      </c>
      <c r="H184" s="27">
        <f t="shared" si="4"/>
        <v>2940.6</v>
      </c>
      <c r="I184">
        <f t="shared" si="5"/>
        <v>22</v>
      </c>
    </row>
    <row r="185" spans="1:9" ht="14.25" customHeight="1" x14ac:dyDescent="0.45">
      <c r="A185" s="9">
        <v>43976</v>
      </c>
      <c r="B185" s="5" t="s">
        <v>16</v>
      </c>
      <c r="C185" s="5">
        <v>66316.5</v>
      </c>
      <c r="D185" s="5">
        <v>5704650</v>
      </c>
      <c r="E185" s="4" cm="1">
        <f t="array" ref="E185">_xlfn.XLOOKUP(A185&amp;B185,Лист2!A:A&amp;Лист2!B:B,Лист2!C:C,0,0)</f>
        <v>36</v>
      </c>
      <c r="F185" s="4" cm="1">
        <f t="array" ref="F185">_xlfn.XLOOKUP(A185&amp;B185,Лист2!A:A&amp;Лист2!B:B,Лист2!D:D,0,0)</f>
        <v>4641</v>
      </c>
      <c r="G185" s="4" cm="1">
        <f t="array" ref="G185">_xlfn.XLOOKUP(A185&amp;B185,Лист2!A:A&amp;Лист2!B:B,Лист2!E:E,0,0)</f>
        <v>4274</v>
      </c>
      <c r="H185" s="27">
        <f t="shared" si="4"/>
        <v>1842.1</v>
      </c>
      <c r="I185">
        <f t="shared" si="5"/>
        <v>22</v>
      </c>
    </row>
    <row r="186" spans="1:9" ht="14.25" customHeight="1" x14ac:dyDescent="0.45">
      <c r="A186" s="8">
        <v>43951</v>
      </c>
      <c r="B186" s="3" t="s">
        <v>16</v>
      </c>
      <c r="C186" s="3">
        <v>78235.5</v>
      </c>
      <c r="D186" s="3">
        <v>6819594</v>
      </c>
      <c r="E186" s="4" cm="1">
        <f t="array" ref="E186">_xlfn.XLOOKUP(A186&amp;B186,Лист2!A:A&amp;Лист2!B:B,Лист2!C:C,0,0)</f>
        <v>36</v>
      </c>
      <c r="F186" s="4" cm="1">
        <f t="array" ref="F186">_xlfn.XLOOKUP(A186&amp;B186,Лист2!A:A&amp;Лист2!B:B,Лист2!D:D,0,0)</f>
        <v>5143</v>
      </c>
      <c r="G186" s="4" cm="1">
        <f t="array" ref="G186">_xlfn.XLOOKUP(A186&amp;B186,Лист2!A:A&amp;Лист2!B:B,Лист2!E:E,0,0)</f>
        <v>4715</v>
      </c>
      <c r="H186" s="27">
        <f t="shared" si="4"/>
        <v>2173.1999999999998</v>
      </c>
      <c r="I186">
        <f t="shared" si="5"/>
        <v>18</v>
      </c>
    </row>
    <row r="187" spans="1:9" ht="14.25" customHeight="1" x14ac:dyDescent="0.45">
      <c r="A187" s="9">
        <v>43961</v>
      </c>
      <c r="B187" s="5" t="s">
        <v>16</v>
      </c>
      <c r="C187" s="5">
        <v>88311</v>
      </c>
      <c r="D187" s="5">
        <v>7726069.5</v>
      </c>
      <c r="E187" s="4" cm="1">
        <f t="array" ref="E187">_xlfn.XLOOKUP(A187&amp;B187,Лист2!A:A&amp;Лист2!B:B,Лист2!C:C,0,0)</f>
        <v>36</v>
      </c>
      <c r="F187" s="4" cm="1">
        <f t="array" ref="F187">_xlfn.XLOOKUP(A187&amp;B187,Лист2!A:A&amp;Лист2!B:B,Лист2!D:D,0,0)</f>
        <v>5746</v>
      </c>
      <c r="G187" s="4" cm="1">
        <f t="array" ref="G187">_xlfn.XLOOKUP(A187&amp;B187,Лист2!A:A&amp;Лист2!B:B,Лист2!E:E,0,0)</f>
        <v>5277</v>
      </c>
      <c r="H187" s="27">
        <f t="shared" si="4"/>
        <v>2453.1</v>
      </c>
      <c r="I187">
        <f t="shared" si="5"/>
        <v>19</v>
      </c>
    </row>
    <row r="188" spans="1:9" ht="14.25" customHeight="1" x14ac:dyDescent="0.45">
      <c r="A188" s="8">
        <v>43959</v>
      </c>
      <c r="B188" s="3" t="s">
        <v>16</v>
      </c>
      <c r="C188" s="3">
        <v>61804.5</v>
      </c>
      <c r="D188" s="3">
        <v>5365708.5</v>
      </c>
      <c r="E188" s="4" cm="1">
        <f t="array" ref="E188">_xlfn.XLOOKUP(A188&amp;B188,Лист2!A:A&amp;Лист2!B:B,Лист2!C:C,0,0)</f>
        <v>36</v>
      </c>
      <c r="F188" s="4" cm="1">
        <f t="array" ref="F188">_xlfn.XLOOKUP(A188&amp;B188,Лист2!A:A&amp;Лист2!B:B,Лист2!D:D,0,0)</f>
        <v>4199</v>
      </c>
      <c r="G188" s="4" cm="1">
        <f t="array" ref="G188">_xlfn.XLOOKUP(A188&amp;B188,Лист2!A:A&amp;Лист2!B:B,Лист2!E:E,0,0)</f>
        <v>3867</v>
      </c>
      <c r="H188" s="27">
        <f t="shared" si="4"/>
        <v>1716.8</v>
      </c>
      <c r="I188">
        <f t="shared" si="5"/>
        <v>19</v>
      </c>
    </row>
    <row r="189" spans="1:9" ht="14.25" customHeight="1" x14ac:dyDescent="0.45">
      <c r="A189" s="9">
        <v>43958</v>
      </c>
      <c r="B189" s="5" t="s">
        <v>16</v>
      </c>
      <c r="C189" s="5">
        <v>71067</v>
      </c>
      <c r="D189" s="5">
        <v>6175837.5</v>
      </c>
      <c r="E189" s="4" cm="1">
        <f t="array" ref="E189">_xlfn.XLOOKUP(A189&amp;B189,Лист2!A:A&amp;Лист2!B:B,Лист2!C:C,0,0)</f>
        <v>36</v>
      </c>
      <c r="F189" s="4" cm="1">
        <f t="array" ref="F189">_xlfn.XLOOKUP(A189&amp;B189,Лист2!A:A&amp;Лист2!B:B,Лист2!D:D,0,0)</f>
        <v>4826</v>
      </c>
      <c r="G189" s="4" cm="1">
        <f t="array" ref="G189">_xlfn.XLOOKUP(A189&amp;B189,Лист2!A:A&amp;Лист2!B:B,Лист2!E:E,0,0)</f>
        <v>4426</v>
      </c>
      <c r="H189" s="27">
        <f t="shared" si="4"/>
        <v>1974.1</v>
      </c>
      <c r="I189">
        <f t="shared" si="5"/>
        <v>19</v>
      </c>
    </row>
    <row r="190" spans="1:9" ht="14.25" customHeight="1" x14ac:dyDescent="0.45">
      <c r="A190" s="8">
        <v>43975</v>
      </c>
      <c r="B190" s="3" t="s">
        <v>16</v>
      </c>
      <c r="C190" s="3">
        <v>74649</v>
      </c>
      <c r="D190" s="3">
        <v>6098236.5</v>
      </c>
      <c r="E190" s="4" cm="1">
        <f t="array" ref="E190">_xlfn.XLOOKUP(A190&amp;B190,Лист2!A:A&amp;Лист2!B:B,Лист2!C:C,0,0)</f>
        <v>36</v>
      </c>
      <c r="F190" s="4" cm="1">
        <f t="array" ref="F190">_xlfn.XLOOKUP(A190&amp;B190,Лист2!A:A&amp;Лист2!B:B,Лист2!D:D,0,0)</f>
        <v>4915</v>
      </c>
      <c r="G190" s="4" cm="1">
        <f t="array" ref="G190">_xlfn.XLOOKUP(A190&amp;B190,Лист2!A:A&amp;Лист2!B:B,Лист2!E:E,0,0)</f>
        <v>4562</v>
      </c>
      <c r="H190" s="27">
        <f t="shared" si="4"/>
        <v>2073.6</v>
      </c>
      <c r="I190">
        <f t="shared" si="5"/>
        <v>21</v>
      </c>
    </row>
    <row r="191" spans="1:9" ht="14.25" customHeight="1" x14ac:dyDescent="0.45">
      <c r="A191" s="9">
        <v>43967</v>
      </c>
      <c r="B191" s="5" t="s">
        <v>17</v>
      </c>
      <c r="C191" s="5">
        <v>44560.5</v>
      </c>
      <c r="D191" s="5">
        <v>4025148</v>
      </c>
      <c r="E191" s="4" cm="1">
        <f t="array" ref="E191">_xlfn.XLOOKUP(A191&amp;B191,Лист2!A:A&amp;Лист2!B:B,Лист2!C:C,0,0)</f>
        <v>21</v>
      </c>
      <c r="F191" s="4" cm="1">
        <f t="array" ref="F191">_xlfn.XLOOKUP(A191&amp;B191,Лист2!A:A&amp;Лист2!B:B,Лист2!D:D,0,0)</f>
        <v>2427</v>
      </c>
      <c r="G191" s="4" cm="1">
        <f t="array" ref="G191">_xlfn.XLOOKUP(A191&amp;B191,Лист2!A:A&amp;Лист2!B:B,Лист2!E:E,0,0)</f>
        <v>2213</v>
      </c>
      <c r="H191" s="27">
        <f t="shared" si="4"/>
        <v>2121.9</v>
      </c>
      <c r="I191">
        <f t="shared" si="5"/>
        <v>20</v>
      </c>
    </row>
    <row r="192" spans="1:9" ht="14.25" customHeight="1" x14ac:dyDescent="0.45">
      <c r="A192" s="8">
        <v>43970</v>
      </c>
      <c r="B192" s="3" t="s">
        <v>17</v>
      </c>
      <c r="C192" s="3">
        <v>38250</v>
      </c>
      <c r="D192" s="3">
        <v>3552937.5</v>
      </c>
      <c r="E192" s="4" cm="1">
        <f t="array" ref="E192">_xlfn.XLOOKUP(A192&amp;B192,Лист2!A:A&amp;Лист2!B:B,Лист2!C:C,0,0)</f>
        <v>21</v>
      </c>
      <c r="F192" s="4" cm="1">
        <f t="array" ref="F192">_xlfn.XLOOKUP(A192&amp;B192,Лист2!A:A&amp;Лист2!B:B,Лист2!D:D,0,0)</f>
        <v>2245</v>
      </c>
      <c r="G192" s="4" cm="1">
        <f t="array" ref="G192">_xlfn.XLOOKUP(A192&amp;B192,Лист2!A:A&amp;Лист2!B:B,Лист2!E:E,0,0)</f>
        <v>2053</v>
      </c>
      <c r="H192" s="27">
        <f t="shared" si="4"/>
        <v>1821.4</v>
      </c>
      <c r="I192">
        <f t="shared" si="5"/>
        <v>21</v>
      </c>
    </row>
    <row r="193" spans="1:9" ht="14.25" customHeight="1" x14ac:dyDescent="0.45">
      <c r="A193" s="9">
        <v>43968</v>
      </c>
      <c r="B193" s="5" t="s">
        <v>17</v>
      </c>
      <c r="C193" s="5">
        <v>34830</v>
      </c>
      <c r="D193" s="5">
        <v>3191155.5</v>
      </c>
      <c r="E193" s="4" cm="1">
        <f t="array" ref="E193">_xlfn.XLOOKUP(A193&amp;B193,Лист2!A:A&amp;Лист2!B:B,Лист2!C:C,0,0)</f>
        <v>21</v>
      </c>
      <c r="F193" s="4" cm="1">
        <f t="array" ref="F193">_xlfn.XLOOKUP(A193&amp;B193,Лист2!A:A&amp;Лист2!B:B,Лист2!D:D,0,0)</f>
        <v>2054</v>
      </c>
      <c r="G193" s="4" cm="1">
        <f t="array" ref="G193">_xlfn.XLOOKUP(A193&amp;B193,Лист2!A:A&amp;Лист2!B:B,Лист2!E:E,0,0)</f>
        <v>1883</v>
      </c>
      <c r="H193" s="27">
        <f t="shared" si="4"/>
        <v>1658.6</v>
      </c>
      <c r="I193">
        <f t="shared" si="5"/>
        <v>20</v>
      </c>
    </row>
    <row r="194" spans="1:9" ht="14.25" customHeight="1" x14ac:dyDescent="0.45">
      <c r="A194" s="8">
        <v>43960</v>
      </c>
      <c r="B194" s="3" t="s">
        <v>17</v>
      </c>
      <c r="C194" s="3">
        <v>32239.5</v>
      </c>
      <c r="D194" s="3">
        <v>3084892.5</v>
      </c>
      <c r="E194" s="4" cm="1">
        <f t="array" ref="E194">_xlfn.XLOOKUP(A194&amp;B194,Лист2!A:A&amp;Лист2!B:B,Лист2!C:C,0,0)</f>
        <v>21</v>
      </c>
      <c r="F194" s="4" cm="1">
        <f t="array" ref="F194">_xlfn.XLOOKUP(A194&amp;B194,Лист2!A:A&amp;Лист2!B:B,Лист2!D:D,0,0)</f>
        <v>1891</v>
      </c>
      <c r="G194" s="4" cm="1">
        <f t="array" ref="G194">_xlfn.XLOOKUP(A194&amp;B194,Лист2!A:A&amp;Лист2!B:B,Лист2!E:E,0,0)</f>
        <v>1709</v>
      </c>
      <c r="H194" s="27">
        <f t="shared" si="4"/>
        <v>1535.2</v>
      </c>
      <c r="I194">
        <f t="shared" si="5"/>
        <v>19</v>
      </c>
    </row>
    <row r="195" spans="1:9" ht="14.25" customHeight="1" x14ac:dyDescent="0.45">
      <c r="A195" s="9">
        <v>43955</v>
      </c>
      <c r="B195" s="5" t="s">
        <v>17</v>
      </c>
      <c r="C195" s="5">
        <v>30780</v>
      </c>
      <c r="D195" s="5">
        <v>2817853.5</v>
      </c>
      <c r="E195" s="4" cm="1">
        <f t="array" ref="E195">_xlfn.XLOOKUP(A195&amp;B195,Лист2!A:A&amp;Лист2!B:B,Лист2!C:C,0,0)</f>
        <v>20</v>
      </c>
      <c r="F195" s="4" cm="1">
        <f t="array" ref="F195">_xlfn.XLOOKUP(A195&amp;B195,Лист2!A:A&amp;Лист2!B:B,Лист2!D:D,0,0)</f>
        <v>1804</v>
      </c>
      <c r="G195" s="4" cm="1">
        <f t="array" ref="G195">_xlfn.XLOOKUP(A195&amp;B195,Лист2!A:A&amp;Лист2!B:B,Лист2!E:E,0,0)</f>
        <v>1638</v>
      </c>
      <c r="H195" s="27">
        <f t="shared" ref="H195:H258" si="6">ROUND(C195/E195, 1)</f>
        <v>1539</v>
      </c>
      <c r="I195">
        <f t="shared" ref="I195:I258" si="7">WEEKNUM(A195,2)</f>
        <v>19</v>
      </c>
    </row>
    <row r="196" spans="1:9" ht="14.25" customHeight="1" x14ac:dyDescent="0.45">
      <c r="A196" s="8">
        <v>43950</v>
      </c>
      <c r="B196" s="3" t="s">
        <v>17</v>
      </c>
      <c r="C196" s="3">
        <v>29142</v>
      </c>
      <c r="D196" s="3">
        <v>2627595</v>
      </c>
      <c r="E196" s="4" cm="1">
        <f t="array" ref="E196">_xlfn.XLOOKUP(A196&amp;B196,Лист2!A:A&amp;Лист2!B:B,Лист2!C:C,0,0)</f>
        <v>19</v>
      </c>
      <c r="F196" s="4" cm="1">
        <f t="array" ref="F196">_xlfn.XLOOKUP(A196&amp;B196,Лист2!A:A&amp;Лист2!B:B,Лист2!D:D,0,0)</f>
        <v>1676</v>
      </c>
      <c r="G196" s="4" cm="1">
        <f t="array" ref="G196">_xlfn.XLOOKUP(A196&amp;B196,Лист2!A:A&amp;Лист2!B:B,Лист2!E:E,0,0)</f>
        <v>1516</v>
      </c>
      <c r="H196" s="27">
        <f t="shared" si="6"/>
        <v>1533.8</v>
      </c>
      <c r="I196">
        <f t="shared" si="7"/>
        <v>18</v>
      </c>
    </row>
    <row r="197" spans="1:9" ht="14.25" customHeight="1" x14ac:dyDescent="0.45">
      <c r="A197" s="9">
        <v>43953</v>
      </c>
      <c r="B197" s="5" t="s">
        <v>17</v>
      </c>
      <c r="C197" s="5">
        <v>26428.5</v>
      </c>
      <c r="D197" s="5">
        <v>2470465.5</v>
      </c>
      <c r="E197" s="4" cm="1">
        <f t="array" ref="E197">_xlfn.XLOOKUP(A197&amp;B197,Лист2!A:A&amp;Лист2!B:B,Лист2!C:C,0,0)</f>
        <v>20</v>
      </c>
      <c r="F197" s="4" cm="1">
        <f t="array" ref="F197">_xlfn.XLOOKUP(A197&amp;B197,Лист2!A:A&amp;Лист2!B:B,Лист2!D:D,0,0)</f>
        <v>1613</v>
      </c>
      <c r="G197" s="4" cm="1">
        <f t="array" ref="G197">_xlfn.XLOOKUP(A197&amp;B197,Лист2!A:A&amp;Лист2!B:B,Лист2!E:E,0,0)</f>
        <v>1457</v>
      </c>
      <c r="H197" s="27">
        <f t="shared" si="6"/>
        <v>1321.4</v>
      </c>
      <c r="I197">
        <f t="shared" si="7"/>
        <v>18</v>
      </c>
    </row>
    <row r="198" spans="1:9" ht="14.25" customHeight="1" x14ac:dyDescent="0.45">
      <c r="A198" s="8">
        <v>43977</v>
      </c>
      <c r="B198" s="3" t="s">
        <v>17</v>
      </c>
      <c r="C198" s="3">
        <v>40744.5</v>
      </c>
      <c r="D198" s="3">
        <v>3700311</v>
      </c>
      <c r="E198" s="4" cm="1">
        <f t="array" ref="E198">_xlfn.XLOOKUP(A198&amp;B198,Лист2!A:A&amp;Лист2!B:B,Лист2!C:C,0,0)</f>
        <v>21</v>
      </c>
      <c r="F198" s="4" cm="1">
        <f t="array" ref="F198">_xlfn.XLOOKUP(A198&amp;B198,Лист2!A:A&amp;Лист2!B:B,Лист2!D:D,0,0)</f>
        <v>2418</v>
      </c>
      <c r="G198" s="4" cm="1">
        <f t="array" ref="G198">_xlfn.XLOOKUP(A198&amp;B198,Лист2!A:A&amp;Лист2!B:B,Лист2!E:E,0,0)</f>
        <v>2215</v>
      </c>
      <c r="H198" s="27">
        <f t="shared" si="6"/>
        <v>1940.2</v>
      </c>
      <c r="I198">
        <f t="shared" si="7"/>
        <v>22</v>
      </c>
    </row>
    <row r="199" spans="1:9" ht="14.25" customHeight="1" x14ac:dyDescent="0.45">
      <c r="A199" s="9">
        <v>43952</v>
      </c>
      <c r="B199" s="5" t="s">
        <v>17</v>
      </c>
      <c r="C199" s="5">
        <v>46620</v>
      </c>
      <c r="D199" s="5">
        <v>4293241.5</v>
      </c>
      <c r="E199" s="4" cm="1">
        <f t="array" ref="E199">_xlfn.XLOOKUP(A199&amp;B199,Лист2!A:A&amp;Лист2!B:B,Лист2!C:C,0,0)</f>
        <v>20</v>
      </c>
      <c r="F199" s="4" cm="1">
        <f t="array" ref="F199">_xlfn.XLOOKUP(A199&amp;B199,Лист2!A:A&amp;Лист2!B:B,Лист2!D:D,0,0)</f>
        <v>2468</v>
      </c>
      <c r="G199" s="4" cm="1">
        <f t="array" ref="G199">_xlfn.XLOOKUP(A199&amp;B199,Лист2!A:A&amp;Лист2!B:B,Лист2!E:E,0,0)</f>
        <v>2221</v>
      </c>
      <c r="H199" s="27">
        <f t="shared" si="6"/>
        <v>2331</v>
      </c>
      <c r="I199">
        <f t="shared" si="7"/>
        <v>18</v>
      </c>
    </row>
    <row r="200" spans="1:9" ht="14.25" customHeight="1" x14ac:dyDescent="0.45">
      <c r="A200" s="8">
        <v>43963</v>
      </c>
      <c r="B200" s="3" t="s">
        <v>17</v>
      </c>
      <c r="C200" s="3">
        <v>32419.5</v>
      </c>
      <c r="D200" s="3">
        <v>3080614.5</v>
      </c>
      <c r="E200" s="4" cm="1">
        <f t="array" ref="E200">_xlfn.XLOOKUP(A200&amp;B200,Лист2!A:A&amp;Лист2!B:B,Лист2!C:C,0,0)</f>
        <v>21</v>
      </c>
      <c r="F200" s="4" cm="1">
        <f t="array" ref="F200">_xlfn.XLOOKUP(A200&amp;B200,Лист2!A:A&amp;Лист2!B:B,Лист2!D:D,0,0)</f>
        <v>1926</v>
      </c>
      <c r="G200" s="4" cm="1">
        <f t="array" ref="G200">_xlfn.XLOOKUP(A200&amp;B200,Лист2!A:A&amp;Лист2!B:B,Лист2!E:E,0,0)</f>
        <v>1745</v>
      </c>
      <c r="H200" s="27">
        <f t="shared" si="6"/>
        <v>1543.8</v>
      </c>
      <c r="I200">
        <f t="shared" si="7"/>
        <v>20</v>
      </c>
    </row>
    <row r="201" spans="1:9" ht="14.25" customHeight="1" x14ac:dyDescent="0.45">
      <c r="A201" s="9">
        <v>43972</v>
      </c>
      <c r="B201" s="5" t="s">
        <v>17</v>
      </c>
      <c r="C201" s="5">
        <v>40819.5</v>
      </c>
      <c r="D201" s="5">
        <v>3810394.5</v>
      </c>
      <c r="E201" s="4" cm="1">
        <f t="array" ref="E201">_xlfn.XLOOKUP(A201&amp;B201,Лист2!A:A&amp;Лист2!B:B,Лист2!C:C,0,0)</f>
        <v>21</v>
      </c>
      <c r="F201" s="4" cm="1">
        <f t="array" ref="F201">_xlfn.XLOOKUP(A201&amp;B201,Лист2!A:A&amp;Лист2!B:B,Лист2!D:D,0,0)</f>
        <v>2335</v>
      </c>
      <c r="G201" s="4" cm="1">
        <f t="array" ref="G201">_xlfn.XLOOKUP(A201&amp;B201,Лист2!A:A&amp;Лист2!B:B,Лист2!E:E,0,0)</f>
        <v>2126</v>
      </c>
      <c r="H201" s="27">
        <f t="shared" si="6"/>
        <v>1943.8</v>
      </c>
      <c r="I201">
        <f t="shared" si="7"/>
        <v>21</v>
      </c>
    </row>
    <row r="202" spans="1:9" ht="14.25" customHeight="1" x14ac:dyDescent="0.45">
      <c r="A202" s="8">
        <v>43971</v>
      </c>
      <c r="B202" s="3" t="s">
        <v>17</v>
      </c>
      <c r="C202" s="3">
        <v>41391</v>
      </c>
      <c r="D202" s="3">
        <v>3918987</v>
      </c>
      <c r="E202" s="4" cm="1">
        <f t="array" ref="E202">_xlfn.XLOOKUP(A202&amp;B202,Лист2!A:A&amp;Лист2!B:B,Лист2!C:C,0,0)</f>
        <v>21</v>
      </c>
      <c r="F202" s="4" cm="1">
        <f t="array" ref="F202">_xlfn.XLOOKUP(A202&amp;B202,Лист2!A:A&amp;Лист2!B:B,Лист2!D:D,0,0)</f>
        <v>2410</v>
      </c>
      <c r="G202" s="4" cm="1">
        <f t="array" ref="G202">_xlfn.XLOOKUP(A202&amp;B202,Лист2!A:A&amp;Лист2!B:B,Лист2!E:E,0,0)</f>
        <v>2202</v>
      </c>
      <c r="H202" s="27">
        <f t="shared" si="6"/>
        <v>1971</v>
      </c>
      <c r="I202">
        <f t="shared" si="7"/>
        <v>21</v>
      </c>
    </row>
    <row r="203" spans="1:9" ht="14.25" customHeight="1" x14ac:dyDescent="0.45">
      <c r="A203" s="9">
        <v>43956</v>
      </c>
      <c r="B203" s="5" t="s">
        <v>17</v>
      </c>
      <c r="C203" s="5">
        <v>29482.5</v>
      </c>
      <c r="D203" s="5">
        <v>2648688</v>
      </c>
      <c r="E203" s="4" cm="1">
        <f t="array" ref="E203">_xlfn.XLOOKUP(A203&amp;B203,Лист2!A:A&amp;Лист2!B:B,Лист2!C:C,0,0)</f>
        <v>20</v>
      </c>
      <c r="F203" s="4" cm="1">
        <f t="array" ref="F203">_xlfn.XLOOKUP(A203&amp;B203,Лист2!A:A&amp;Лист2!B:B,Лист2!D:D,0,0)</f>
        <v>1757</v>
      </c>
      <c r="G203" s="4" cm="1">
        <f t="array" ref="G203">_xlfn.XLOOKUP(A203&amp;B203,Лист2!A:A&amp;Лист2!B:B,Лист2!E:E,0,0)</f>
        <v>1596</v>
      </c>
      <c r="H203" s="27">
        <f t="shared" si="6"/>
        <v>1474.1</v>
      </c>
      <c r="I203">
        <f t="shared" si="7"/>
        <v>19</v>
      </c>
    </row>
    <row r="204" spans="1:9" ht="14.25" customHeight="1" x14ac:dyDescent="0.45">
      <c r="A204" s="8">
        <v>43949</v>
      </c>
      <c r="B204" s="3" t="s">
        <v>17</v>
      </c>
      <c r="C204" s="3">
        <v>32181</v>
      </c>
      <c r="D204" s="3">
        <v>2863600.5</v>
      </c>
      <c r="E204" s="4" cm="1">
        <f t="array" ref="E204">_xlfn.XLOOKUP(A204&amp;B204,Лист2!A:A&amp;Лист2!B:B,Лист2!C:C,0,0)</f>
        <v>19</v>
      </c>
      <c r="F204" s="4" cm="1">
        <f t="array" ref="F204">_xlfn.XLOOKUP(A204&amp;B204,Лист2!A:A&amp;Лист2!B:B,Лист2!D:D,0,0)</f>
        <v>1846</v>
      </c>
      <c r="G204" s="4" cm="1">
        <f t="array" ref="G204">_xlfn.XLOOKUP(A204&amp;B204,Лист2!A:A&amp;Лист2!B:B,Лист2!E:E,0,0)</f>
        <v>1681</v>
      </c>
      <c r="H204" s="27">
        <f t="shared" si="6"/>
        <v>1693.7</v>
      </c>
      <c r="I204">
        <f t="shared" si="7"/>
        <v>18</v>
      </c>
    </row>
    <row r="205" spans="1:9" ht="14.25" customHeight="1" x14ac:dyDescent="0.45">
      <c r="A205" s="9">
        <v>43964</v>
      </c>
      <c r="B205" s="5" t="s">
        <v>17</v>
      </c>
      <c r="C205" s="5">
        <v>35535</v>
      </c>
      <c r="D205" s="5">
        <v>3288069</v>
      </c>
      <c r="E205" s="4" cm="1">
        <f t="array" ref="E205">_xlfn.XLOOKUP(A205&amp;B205,Лист2!A:A&amp;Лист2!B:B,Лист2!C:C,0,0)</f>
        <v>21</v>
      </c>
      <c r="F205" s="4" cm="1">
        <f t="array" ref="F205">_xlfn.XLOOKUP(A205&amp;B205,Лист2!A:A&amp;Лист2!B:B,Лист2!D:D,0,0)</f>
        <v>2061</v>
      </c>
      <c r="G205" s="4" cm="1">
        <f t="array" ref="G205">_xlfn.XLOOKUP(A205&amp;B205,Лист2!A:A&amp;Лист2!B:B,Лист2!E:E,0,0)</f>
        <v>1876</v>
      </c>
      <c r="H205" s="27">
        <f t="shared" si="6"/>
        <v>1692.1</v>
      </c>
      <c r="I205">
        <f t="shared" si="7"/>
        <v>20</v>
      </c>
    </row>
    <row r="206" spans="1:9" ht="14.25" customHeight="1" x14ac:dyDescent="0.45">
      <c r="A206" s="8">
        <v>43982</v>
      </c>
      <c r="B206" s="3" t="s">
        <v>16</v>
      </c>
      <c r="C206" s="3">
        <v>76234.5</v>
      </c>
      <c r="D206" s="3">
        <v>6500848.5</v>
      </c>
      <c r="E206" s="4" cm="1">
        <f t="array" ref="E206">_xlfn.XLOOKUP(A206&amp;B206,Лист2!A:A&amp;Лист2!B:B,Лист2!C:C,0,0)</f>
        <v>37</v>
      </c>
      <c r="F206" s="4" cm="1">
        <f t="array" ref="F206">_xlfn.XLOOKUP(A206&amp;B206,Лист2!A:A&amp;Лист2!B:B,Лист2!D:D,0,0)</f>
        <v>5215</v>
      </c>
      <c r="G206" s="4" cm="1">
        <f t="array" ref="G206">_xlfn.XLOOKUP(A206&amp;B206,Лист2!A:A&amp;Лист2!B:B,Лист2!E:E,0,0)</f>
        <v>4848</v>
      </c>
      <c r="H206" s="27">
        <f t="shared" si="6"/>
        <v>2060.4</v>
      </c>
      <c r="I206">
        <f t="shared" si="7"/>
        <v>22</v>
      </c>
    </row>
    <row r="207" spans="1:9" ht="14.25" customHeight="1" x14ac:dyDescent="0.45">
      <c r="A207" s="9">
        <v>43954</v>
      </c>
      <c r="B207" s="5" t="s">
        <v>17</v>
      </c>
      <c r="C207" s="5">
        <v>29935.5</v>
      </c>
      <c r="D207" s="5">
        <v>2720002.5</v>
      </c>
      <c r="E207" s="4" cm="1">
        <f t="array" ref="E207">_xlfn.XLOOKUP(A207&amp;B207,Лист2!A:A&amp;Лист2!B:B,Лист2!C:C,0,0)</f>
        <v>20</v>
      </c>
      <c r="F207" s="4" cm="1">
        <f t="array" ref="F207">_xlfn.XLOOKUP(A207&amp;B207,Лист2!A:A&amp;Лист2!B:B,Лист2!D:D,0,0)</f>
        <v>1716</v>
      </c>
      <c r="G207" s="4" cm="1">
        <f t="array" ref="G207">_xlfn.XLOOKUP(A207&amp;B207,Лист2!A:A&amp;Лист2!B:B,Лист2!E:E,0,0)</f>
        <v>1561</v>
      </c>
      <c r="H207" s="27">
        <f t="shared" si="6"/>
        <v>1496.8</v>
      </c>
      <c r="I207">
        <f t="shared" si="7"/>
        <v>18</v>
      </c>
    </row>
    <row r="208" spans="1:9" ht="14.25" customHeight="1" x14ac:dyDescent="0.45">
      <c r="A208" s="8">
        <v>43981</v>
      </c>
      <c r="B208" s="3" t="s">
        <v>16</v>
      </c>
      <c r="C208" s="3">
        <v>106926</v>
      </c>
      <c r="D208" s="3">
        <v>9098386.5</v>
      </c>
      <c r="E208" s="4" cm="1">
        <f t="array" ref="E208">_xlfn.XLOOKUP(A208&amp;B208,Лист2!A:A&amp;Лист2!B:B,Лист2!C:C,0,0)</f>
        <v>37</v>
      </c>
      <c r="F208" s="4" cm="1">
        <f t="array" ref="F208">_xlfn.XLOOKUP(A208&amp;B208,Лист2!A:A&amp;Лист2!B:B,Лист2!D:D,0,0)</f>
        <v>6645</v>
      </c>
      <c r="G208" s="4" cm="1">
        <f t="array" ref="G208">_xlfn.XLOOKUP(A208&amp;B208,Лист2!A:A&amp;Лист2!B:B,Лист2!E:E,0,0)</f>
        <v>6122</v>
      </c>
      <c r="H208" s="27">
        <f t="shared" si="6"/>
        <v>2889.9</v>
      </c>
      <c r="I208">
        <f t="shared" si="7"/>
        <v>22</v>
      </c>
    </row>
    <row r="209" spans="1:9" ht="14.25" customHeight="1" x14ac:dyDescent="0.45">
      <c r="A209" s="9">
        <v>43957</v>
      </c>
      <c r="B209" s="5" t="s">
        <v>17</v>
      </c>
      <c r="C209" s="5">
        <v>30342</v>
      </c>
      <c r="D209" s="5">
        <v>2738127</v>
      </c>
      <c r="E209" s="4" cm="1">
        <f t="array" ref="E209">_xlfn.XLOOKUP(A209&amp;B209,Лист2!A:A&amp;Лист2!B:B,Лист2!C:C,0,0)</f>
        <v>20</v>
      </c>
      <c r="F209" s="4" cm="1">
        <f t="array" ref="F209">_xlfn.XLOOKUP(A209&amp;B209,Лист2!A:A&amp;Лист2!B:B,Лист2!D:D,0,0)</f>
        <v>1747</v>
      </c>
      <c r="G209" s="4" cm="1">
        <f t="array" ref="G209">_xlfn.XLOOKUP(A209&amp;B209,Лист2!A:A&amp;Лист2!B:B,Лист2!E:E,0,0)</f>
        <v>1570</v>
      </c>
      <c r="H209" s="27">
        <f t="shared" si="6"/>
        <v>1517.1</v>
      </c>
      <c r="I209">
        <f t="shared" si="7"/>
        <v>19</v>
      </c>
    </row>
    <row r="210" spans="1:9" ht="14.25" customHeight="1" x14ac:dyDescent="0.45">
      <c r="A210" s="8">
        <v>43974</v>
      </c>
      <c r="B210" s="3" t="s">
        <v>17</v>
      </c>
      <c r="C210" s="3">
        <v>42999</v>
      </c>
      <c r="D210" s="3">
        <v>3883215</v>
      </c>
      <c r="E210" s="4" cm="1">
        <f t="array" ref="E210">_xlfn.XLOOKUP(A210&amp;B210,Лист2!A:A&amp;Лист2!B:B,Лист2!C:C,0,0)</f>
        <v>21</v>
      </c>
      <c r="F210" s="4" cm="1">
        <f t="array" ref="F210">_xlfn.XLOOKUP(A210&amp;B210,Лист2!A:A&amp;Лист2!B:B,Лист2!D:D,0,0)</f>
        <v>2460</v>
      </c>
      <c r="G210" s="4" cm="1">
        <f t="array" ref="G210">_xlfn.XLOOKUP(A210&amp;B210,Лист2!A:A&amp;Лист2!B:B,Лист2!E:E,0,0)</f>
        <v>2226</v>
      </c>
      <c r="H210" s="27">
        <f t="shared" si="6"/>
        <v>2047.6</v>
      </c>
      <c r="I210">
        <f t="shared" si="7"/>
        <v>21</v>
      </c>
    </row>
    <row r="211" spans="1:9" ht="14.25" customHeight="1" x14ac:dyDescent="0.45">
      <c r="A211" s="9">
        <v>43979</v>
      </c>
      <c r="B211" s="5" t="s">
        <v>16</v>
      </c>
      <c r="C211" s="5">
        <v>69945</v>
      </c>
      <c r="D211" s="5">
        <v>6101931</v>
      </c>
      <c r="E211" s="4" cm="1">
        <f t="array" ref="E211">_xlfn.XLOOKUP(A211&amp;B211,Лист2!A:A&amp;Лист2!B:B,Лист2!C:C,0,0)</f>
        <v>37</v>
      </c>
      <c r="F211" s="4" cm="1">
        <f t="array" ref="F211">_xlfn.XLOOKUP(A211&amp;B211,Лист2!A:A&amp;Лист2!B:B,Лист2!D:D,0,0)</f>
        <v>4840</v>
      </c>
      <c r="G211" s="4" cm="1">
        <f t="array" ref="G211">_xlfn.XLOOKUP(A211&amp;B211,Лист2!A:A&amp;Лист2!B:B,Лист2!E:E,0,0)</f>
        <v>4475</v>
      </c>
      <c r="H211" s="27">
        <f t="shared" si="6"/>
        <v>1890.4</v>
      </c>
      <c r="I211">
        <f t="shared" si="7"/>
        <v>22</v>
      </c>
    </row>
    <row r="212" spans="1:9" ht="14.25" customHeight="1" x14ac:dyDescent="0.45">
      <c r="A212" s="8">
        <v>43976</v>
      </c>
      <c r="B212" s="3" t="s">
        <v>17</v>
      </c>
      <c r="C212" s="3">
        <v>38740.5</v>
      </c>
      <c r="D212" s="3">
        <v>3561655.5</v>
      </c>
      <c r="E212" s="4" cm="1">
        <f t="array" ref="E212">_xlfn.XLOOKUP(A212&amp;B212,Лист2!A:A&amp;Лист2!B:B,Лист2!C:C,0,0)</f>
        <v>21</v>
      </c>
      <c r="F212" s="4" cm="1">
        <f t="array" ref="F212">_xlfn.XLOOKUP(A212&amp;B212,Лист2!A:A&amp;Лист2!B:B,Лист2!D:D,0,0)</f>
        <v>2330</v>
      </c>
      <c r="G212" s="4" cm="1">
        <f t="array" ref="G212">_xlfn.XLOOKUP(A212&amp;B212,Лист2!A:A&amp;Лист2!B:B,Лист2!E:E,0,0)</f>
        <v>2142</v>
      </c>
      <c r="H212" s="27">
        <f t="shared" si="6"/>
        <v>1844.8</v>
      </c>
      <c r="I212">
        <f t="shared" si="7"/>
        <v>22</v>
      </c>
    </row>
    <row r="213" spans="1:9" ht="14.25" customHeight="1" x14ac:dyDescent="0.45">
      <c r="A213" s="9">
        <v>43951</v>
      </c>
      <c r="B213" s="5" t="s">
        <v>17</v>
      </c>
      <c r="C213" s="5">
        <v>31231.5</v>
      </c>
      <c r="D213" s="5">
        <v>2853310.5</v>
      </c>
      <c r="E213" s="4" cm="1">
        <f t="array" ref="E213">_xlfn.XLOOKUP(A213&amp;B213,Лист2!A:A&amp;Лист2!B:B,Лист2!C:C,0,0)</f>
        <v>20</v>
      </c>
      <c r="F213" s="4" cm="1">
        <f t="array" ref="F213">_xlfn.XLOOKUP(A213&amp;B213,Лист2!A:A&amp;Лист2!B:B,Лист2!D:D,0,0)</f>
        <v>1756</v>
      </c>
      <c r="G213" s="4" cm="1">
        <f t="array" ref="G213">_xlfn.XLOOKUP(A213&amp;B213,Лист2!A:A&amp;Лист2!B:B,Лист2!E:E,0,0)</f>
        <v>1586</v>
      </c>
      <c r="H213" s="27">
        <f t="shared" si="6"/>
        <v>1561.6</v>
      </c>
      <c r="I213">
        <f t="shared" si="7"/>
        <v>18</v>
      </c>
    </row>
    <row r="214" spans="1:9" ht="14.25" customHeight="1" x14ac:dyDescent="0.45">
      <c r="A214" s="8">
        <v>43961</v>
      </c>
      <c r="B214" s="3" t="s">
        <v>17</v>
      </c>
      <c r="C214" s="3">
        <v>37489.5</v>
      </c>
      <c r="D214" s="3">
        <v>3549097.5</v>
      </c>
      <c r="E214" s="4" cm="1">
        <f t="array" ref="E214">_xlfn.XLOOKUP(A214&amp;B214,Лист2!A:A&amp;Лист2!B:B,Лист2!C:C,0,0)</f>
        <v>21</v>
      </c>
      <c r="F214" s="4" cm="1">
        <f t="array" ref="F214">_xlfn.XLOOKUP(A214&amp;B214,Лист2!A:A&amp;Лист2!B:B,Лист2!D:D,0,0)</f>
        <v>2120</v>
      </c>
      <c r="G214" s="4" cm="1">
        <f t="array" ref="G214">_xlfn.XLOOKUP(A214&amp;B214,Лист2!A:A&amp;Лист2!B:B,Лист2!E:E,0,0)</f>
        <v>1921</v>
      </c>
      <c r="H214" s="27">
        <f t="shared" si="6"/>
        <v>1785.2</v>
      </c>
      <c r="I214">
        <f t="shared" si="7"/>
        <v>19</v>
      </c>
    </row>
    <row r="215" spans="1:9" ht="14.25" customHeight="1" x14ac:dyDescent="0.45">
      <c r="A215" s="9">
        <v>43959</v>
      </c>
      <c r="B215" s="5" t="s">
        <v>17</v>
      </c>
      <c r="C215" s="5">
        <v>34399.5</v>
      </c>
      <c r="D215" s="5">
        <v>3201358.5</v>
      </c>
      <c r="E215" s="4" cm="1">
        <f t="array" ref="E215">_xlfn.XLOOKUP(A215&amp;B215,Лист2!A:A&amp;Лист2!B:B,Лист2!C:C,0,0)</f>
        <v>21</v>
      </c>
      <c r="F215" s="4" cm="1">
        <f t="array" ref="F215">_xlfn.XLOOKUP(A215&amp;B215,Лист2!A:A&amp;Лист2!B:B,Лист2!D:D,0,0)</f>
        <v>1957</v>
      </c>
      <c r="G215" s="4" cm="1">
        <f t="array" ref="G215">_xlfn.XLOOKUP(A215&amp;B215,Лист2!A:A&amp;Лист2!B:B,Лист2!E:E,0,0)</f>
        <v>1755</v>
      </c>
      <c r="H215" s="27">
        <f t="shared" si="6"/>
        <v>1638.1</v>
      </c>
      <c r="I215">
        <f t="shared" si="7"/>
        <v>19</v>
      </c>
    </row>
    <row r="216" spans="1:9" ht="14.25" customHeight="1" x14ac:dyDescent="0.45">
      <c r="A216" s="8">
        <v>43958</v>
      </c>
      <c r="B216" s="3" t="s">
        <v>17</v>
      </c>
      <c r="C216" s="3">
        <v>32851.5</v>
      </c>
      <c r="D216" s="3">
        <v>2934504</v>
      </c>
      <c r="E216" s="4" cm="1">
        <f t="array" ref="E216">_xlfn.XLOOKUP(A216&amp;B216,Лист2!A:A&amp;Лист2!B:B,Лист2!C:C,0,0)</f>
        <v>21</v>
      </c>
      <c r="F216" s="4" cm="1">
        <f t="array" ref="F216">_xlfn.XLOOKUP(A216&amp;B216,Лист2!A:A&amp;Лист2!B:B,Лист2!D:D,0,0)</f>
        <v>1879</v>
      </c>
      <c r="G216" s="4" cm="1">
        <f t="array" ref="G216">_xlfn.XLOOKUP(A216&amp;B216,Лист2!A:A&amp;Лист2!B:B,Лист2!E:E,0,0)</f>
        <v>1695</v>
      </c>
      <c r="H216" s="27">
        <f t="shared" si="6"/>
        <v>1564.4</v>
      </c>
      <c r="I216">
        <f t="shared" si="7"/>
        <v>19</v>
      </c>
    </row>
    <row r="217" spans="1:9" ht="14.25" customHeight="1" x14ac:dyDescent="0.45">
      <c r="A217" s="9">
        <v>43975</v>
      </c>
      <c r="B217" s="5" t="s">
        <v>17</v>
      </c>
      <c r="C217" s="5">
        <v>38194.5</v>
      </c>
      <c r="D217" s="5">
        <v>3449302.5</v>
      </c>
      <c r="E217" s="4" cm="1">
        <f t="array" ref="E217">_xlfn.XLOOKUP(A217&amp;B217,Лист2!A:A&amp;Лист2!B:B,Лист2!C:C,0,0)</f>
        <v>21</v>
      </c>
      <c r="F217" s="4" cm="1">
        <f t="array" ref="F217">_xlfn.XLOOKUP(A217&amp;B217,Лист2!A:A&amp;Лист2!B:B,Лист2!D:D,0,0)</f>
        <v>2254</v>
      </c>
      <c r="G217" s="4" cm="1">
        <f t="array" ref="G217">_xlfn.XLOOKUP(A217&amp;B217,Лист2!A:A&amp;Лист2!B:B,Лист2!E:E,0,0)</f>
        <v>2061</v>
      </c>
      <c r="H217" s="27">
        <f t="shared" si="6"/>
        <v>1818.8</v>
      </c>
      <c r="I217">
        <f t="shared" si="7"/>
        <v>21</v>
      </c>
    </row>
    <row r="218" spans="1:9" ht="14.25" customHeight="1" x14ac:dyDescent="0.45">
      <c r="A218" s="8">
        <v>43982</v>
      </c>
      <c r="B218" s="3" t="s">
        <v>17</v>
      </c>
      <c r="C218" s="3">
        <v>42423</v>
      </c>
      <c r="D218" s="3">
        <v>3994153.5</v>
      </c>
      <c r="E218" s="4" cm="1">
        <f t="array" ref="E218">_xlfn.XLOOKUP(A218&amp;B218,Лист2!A:A&amp;Лист2!B:B,Лист2!C:C,0,0)</f>
        <v>23</v>
      </c>
      <c r="F218" s="4" cm="1">
        <f t="array" ref="F218">_xlfn.XLOOKUP(A218&amp;B218,Лист2!A:A&amp;Лист2!B:B,Лист2!D:D,0,0)</f>
        <v>2522</v>
      </c>
      <c r="G218" s="4" cm="1">
        <f t="array" ref="G218">_xlfn.XLOOKUP(A218&amp;B218,Лист2!A:A&amp;Лист2!B:B,Лист2!E:E,0,0)</f>
        <v>2295</v>
      </c>
      <c r="H218" s="27">
        <f t="shared" si="6"/>
        <v>1844.5</v>
      </c>
      <c r="I218">
        <f t="shared" si="7"/>
        <v>22</v>
      </c>
    </row>
    <row r="219" spans="1:9" ht="14.25" customHeight="1" x14ac:dyDescent="0.45">
      <c r="A219" s="9">
        <v>43981</v>
      </c>
      <c r="B219" s="5" t="s">
        <v>17</v>
      </c>
      <c r="C219" s="5">
        <v>48286.5</v>
      </c>
      <c r="D219" s="5">
        <v>4456441.5</v>
      </c>
      <c r="E219" s="4" cm="1">
        <f t="array" ref="E219">_xlfn.XLOOKUP(A219&amp;B219,Лист2!A:A&amp;Лист2!B:B,Лист2!C:C,0,0)</f>
        <v>22</v>
      </c>
      <c r="F219" s="4" cm="1">
        <f t="array" ref="F219">_xlfn.XLOOKUP(A219&amp;B219,Лист2!A:A&amp;Лист2!B:B,Лист2!D:D,0,0)</f>
        <v>2793</v>
      </c>
      <c r="G219" s="4" cm="1">
        <f t="array" ref="G219">_xlfn.XLOOKUP(A219&amp;B219,Лист2!A:A&amp;Лист2!B:B,Лист2!E:E,0,0)</f>
        <v>2539</v>
      </c>
      <c r="H219" s="27">
        <f t="shared" si="6"/>
        <v>2194.8000000000002</v>
      </c>
      <c r="I219">
        <f t="shared" si="7"/>
        <v>22</v>
      </c>
    </row>
    <row r="220" spans="1:9" ht="14.25" customHeight="1" x14ac:dyDescent="0.45">
      <c r="A220" s="8">
        <v>43979</v>
      </c>
      <c r="B220" s="3" t="s">
        <v>17</v>
      </c>
      <c r="C220" s="3">
        <v>41442</v>
      </c>
      <c r="D220" s="3">
        <v>3893680.5</v>
      </c>
      <c r="E220" s="4" cm="1">
        <f t="array" ref="E220">_xlfn.XLOOKUP(A220&amp;B220,Лист2!A:A&amp;Лист2!B:B,Лист2!C:C,0,0)</f>
        <v>22</v>
      </c>
      <c r="F220" s="4" cm="1">
        <f t="array" ref="F220">_xlfn.XLOOKUP(A220&amp;B220,Лист2!A:A&amp;Лист2!B:B,Лист2!D:D,0,0)</f>
        <v>2454</v>
      </c>
      <c r="G220" s="4" cm="1">
        <f t="array" ref="G220">_xlfn.XLOOKUP(A220&amp;B220,Лист2!A:A&amp;Лист2!B:B,Лист2!E:E,0,0)</f>
        <v>2239</v>
      </c>
      <c r="H220" s="27">
        <f t="shared" si="6"/>
        <v>1883.7</v>
      </c>
      <c r="I220">
        <f t="shared" si="7"/>
        <v>22</v>
      </c>
    </row>
    <row r="221" spans="1:9" ht="14.25" customHeight="1" x14ac:dyDescent="0.45">
      <c r="A221" s="9">
        <v>43967</v>
      </c>
      <c r="B221" s="5" t="s">
        <v>18</v>
      </c>
      <c r="C221" s="5">
        <v>18600</v>
      </c>
      <c r="D221" s="5">
        <v>1601425.5</v>
      </c>
      <c r="E221" s="4" cm="1">
        <f t="array" ref="E221">_xlfn.XLOOKUP(A221&amp;B221,Лист2!A:A&amp;Лист2!B:B,Лист2!C:C,0,0)</f>
        <v>15</v>
      </c>
      <c r="F221" s="4" cm="1">
        <f t="array" ref="F221">_xlfn.XLOOKUP(A221&amp;B221,Лист2!A:A&amp;Лист2!B:B,Лист2!D:D,0,0)</f>
        <v>1111</v>
      </c>
      <c r="G221" s="4" cm="1">
        <f t="array" ref="G221">_xlfn.XLOOKUP(A221&amp;B221,Лист2!A:A&amp;Лист2!B:B,Лист2!E:E,0,0)</f>
        <v>992</v>
      </c>
      <c r="H221" s="27">
        <f t="shared" si="6"/>
        <v>1240</v>
      </c>
      <c r="I221">
        <f t="shared" si="7"/>
        <v>20</v>
      </c>
    </row>
    <row r="222" spans="1:9" ht="14.25" customHeight="1" x14ac:dyDescent="0.45">
      <c r="A222" s="8">
        <v>43970</v>
      </c>
      <c r="B222" s="3" t="s">
        <v>18</v>
      </c>
      <c r="C222" s="3">
        <v>16638</v>
      </c>
      <c r="D222" s="3">
        <v>1364847</v>
      </c>
      <c r="E222" s="4" cm="1">
        <f t="array" ref="E222">_xlfn.XLOOKUP(A222&amp;B222,Лист2!A:A&amp;Лист2!B:B,Лист2!C:C,0,0)</f>
        <v>16</v>
      </c>
      <c r="F222" s="4" cm="1">
        <f t="array" ref="F222">_xlfn.XLOOKUP(A222&amp;B222,Лист2!A:A&amp;Лист2!B:B,Лист2!D:D,0,0)</f>
        <v>1012</v>
      </c>
      <c r="G222" s="4" cm="1">
        <f t="array" ref="G222">_xlfn.XLOOKUP(A222&amp;B222,Лист2!A:A&amp;Лист2!B:B,Лист2!E:E,0,0)</f>
        <v>900</v>
      </c>
      <c r="H222" s="27">
        <f t="shared" si="6"/>
        <v>1039.9000000000001</v>
      </c>
      <c r="I222">
        <f t="shared" si="7"/>
        <v>21</v>
      </c>
    </row>
    <row r="223" spans="1:9" ht="14.25" customHeight="1" x14ac:dyDescent="0.45">
      <c r="A223" s="9">
        <v>43968</v>
      </c>
      <c r="B223" s="5" t="s">
        <v>18</v>
      </c>
      <c r="C223" s="5">
        <v>15609</v>
      </c>
      <c r="D223" s="5">
        <v>1377577.5</v>
      </c>
      <c r="E223" s="4" cm="1">
        <f t="array" ref="E223">_xlfn.XLOOKUP(A223&amp;B223,Лист2!A:A&amp;Лист2!B:B,Лист2!C:C,0,0)</f>
        <v>15</v>
      </c>
      <c r="F223" s="4" cm="1">
        <f t="array" ref="F223">_xlfn.XLOOKUP(A223&amp;B223,Лист2!A:A&amp;Лист2!B:B,Лист2!D:D,0,0)</f>
        <v>971</v>
      </c>
      <c r="G223" s="4" cm="1">
        <f t="array" ref="G223">_xlfn.XLOOKUP(A223&amp;B223,Лист2!A:A&amp;Лист2!B:B,Лист2!E:E,0,0)</f>
        <v>856</v>
      </c>
      <c r="H223" s="27">
        <f t="shared" si="6"/>
        <v>1040.5999999999999</v>
      </c>
      <c r="I223">
        <f t="shared" si="7"/>
        <v>20</v>
      </c>
    </row>
    <row r="224" spans="1:9" ht="14.25" customHeight="1" x14ac:dyDescent="0.45">
      <c r="A224" s="8">
        <v>43960</v>
      </c>
      <c r="B224" s="3" t="s">
        <v>18</v>
      </c>
      <c r="C224" s="3">
        <v>13948.5</v>
      </c>
      <c r="D224" s="3">
        <v>1222932</v>
      </c>
      <c r="E224" s="4" cm="1">
        <f t="array" ref="E224">_xlfn.XLOOKUP(A224&amp;B224,Лист2!A:A&amp;Лист2!B:B,Лист2!C:C,0,0)</f>
        <v>15</v>
      </c>
      <c r="F224" s="4" cm="1">
        <f t="array" ref="F224">_xlfn.XLOOKUP(A224&amp;B224,Лист2!A:A&amp;Лист2!B:B,Лист2!D:D,0,0)</f>
        <v>849</v>
      </c>
      <c r="G224" s="4" cm="1">
        <f t="array" ref="G224">_xlfn.XLOOKUP(A224&amp;B224,Лист2!A:A&amp;Лист2!B:B,Лист2!E:E,0,0)</f>
        <v>740</v>
      </c>
      <c r="H224" s="27">
        <f t="shared" si="6"/>
        <v>929.9</v>
      </c>
      <c r="I224">
        <f t="shared" si="7"/>
        <v>19</v>
      </c>
    </row>
    <row r="225" spans="1:9" ht="14.25" customHeight="1" x14ac:dyDescent="0.45">
      <c r="A225" s="9">
        <v>43955</v>
      </c>
      <c r="B225" s="5" t="s">
        <v>18</v>
      </c>
      <c r="C225" s="5">
        <v>12301.5</v>
      </c>
      <c r="D225" s="5">
        <v>1085211</v>
      </c>
      <c r="E225" s="4" cm="1">
        <f t="array" ref="E225">_xlfn.XLOOKUP(A225&amp;B225,Лист2!A:A&amp;Лист2!B:B,Лист2!C:C,0,0)</f>
        <v>15</v>
      </c>
      <c r="F225" s="4" cm="1">
        <f t="array" ref="F225">_xlfn.XLOOKUP(A225&amp;B225,Лист2!A:A&amp;Лист2!B:B,Лист2!D:D,0,0)</f>
        <v>750</v>
      </c>
      <c r="G225" s="4" cm="1">
        <f t="array" ref="G225">_xlfn.XLOOKUP(A225&amp;B225,Лист2!A:A&amp;Лист2!B:B,Лист2!E:E,0,0)</f>
        <v>647</v>
      </c>
      <c r="H225" s="27">
        <f t="shared" si="6"/>
        <v>820.1</v>
      </c>
      <c r="I225">
        <f t="shared" si="7"/>
        <v>19</v>
      </c>
    </row>
    <row r="226" spans="1:9" ht="14.25" customHeight="1" x14ac:dyDescent="0.45">
      <c r="A226" s="8">
        <v>43950</v>
      </c>
      <c r="B226" s="3" t="s">
        <v>18</v>
      </c>
      <c r="C226" s="3">
        <v>13014</v>
      </c>
      <c r="D226" s="3">
        <v>1115992.5</v>
      </c>
      <c r="E226" s="4" cm="1">
        <f t="array" ref="E226">_xlfn.XLOOKUP(A226&amp;B226,Лист2!A:A&amp;Лист2!B:B,Лист2!C:C,0,0)</f>
        <v>15</v>
      </c>
      <c r="F226" s="4" cm="1">
        <f t="array" ref="F226">_xlfn.XLOOKUP(A226&amp;B226,Лист2!A:A&amp;Лист2!B:B,Лист2!D:D,0,0)</f>
        <v>786</v>
      </c>
      <c r="G226" s="4" cm="1">
        <f t="array" ref="G226">_xlfn.XLOOKUP(A226&amp;B226,Лист2!A:A&amp;Лист2!B:B,Лист2!E:E,0,0)</f>
        <v>695</v>
      </c>
      <c r="H226" s="27">
        <f t="shared" si="6"/>
        <v>867.6</v>
      </c>
      <c r="I226">
        <f t="shared" si="7"/>
        <v>18</v>
      </c>
    </row>
    <row r="227" spans="1:9" ht="14.25" customHeight="1" x14ac:dyDescent="0.45">
      <c r="A227" s="9">
        <v>43953</v>
      </c>
      <c r="B227" s="5" t="s">
        <v>18</v>
      </c>
      <c r="C227" s="5">
        <v>12313.5</v>
      </c>
      <c r="D227" s="5">
        <v>1053220.5</v>
      </c>
      <c r="E227" s="4" cm="1">
        <f t="array" ref="E227">_xlfn.XLOOKUP(A227&amp;B227,Лист2!A:A&amp;Лист2!B:B,Лист2!C:C,0,0)</f>
        <v>15</v>
      </c>
      <c r="F227" s="4" cm="1">
        <f t="array" ref="F227">_xlfn.XLOOKUP(A227&amp;B227,Лист2!A:A&amp;Лист2!B:B,Лист2!D:D,0,0)</f>
        <v>751</v>
      </c>
      <c r="G227" s="4" cm="1">
        <f t="array" ref="G227">_xlfn.XLOOKUP(A227&amp;B227,Лист2!A:A&amp;Лист2!B:B,Лист2!E:E,0,0)</f>
        <v>651</v>
      </c>
      <c r="H227" s="27">
        <f t="shared" si="6"/>
        <v>820.9</v>
      </c>
      <c r="I227">
        <f t="shared" si="7"/>
        <v>18</v>
      </c>
    </row>
    <row r="228" spans="1:9" ht="14.25" customHeight="1" x14ac:dyDescent="0.45">
      <c r="A228" s="8">
        <v>43977</v>
      </c>
      <c r="B228" s="3" t="s">
        <v>18</v>
      </c>
      <c r="C228" s="3">
        <v>17391</v>
      </c>
      <c r="D228" s="3">
        <v>1489132.5</v>
      </c>
      <c r="E228" s="4" cm="1">
        <f t="array" ref="E228">_xlfn.XLOOKUP(A228&amp;B228,Лист2!A:A&amp;Лист2!B:B,Лист2!C:C,0,0)</f>
        <v>17</v>
      </c>
      <c r="F228" s="4" cm="1">
        <f t="array" ref="F228">_xlfn.XLOOKUP(A228&amp;B228,Лист2!A:A&amp;Лист2!B:B,Лист2!D:D,0,0)</f>
        <v>1140</v>
      </c>
      <c r="G228" s="4" cm="1">
        <f t="array" ref="G228">_xlfn.XLOOKUP(A228&amp;B228,Лист2!A:A&amp;Лист2!B:B,Лист2!E:E,0,0)</f>
        <v>1016</v>
      </c>
      <c r="H228" s="27">
        <f t="shared" si="6"/>
        <v>1023</v>
      </c>
      <c r="I228">
        <f t="shared" si="7"/>
        <v>22</v>
      </c>
    </row>
    <row r="229" spans="1:9" ht="14.25" customHeight="1" x14ac:dyDescent="0.45">
      <c r="A229" s="9">
        <v>43952</v>
      </c>
      <c r="B229" s="5" t="s">
        <v>18</v>
      </c>
      <c r="C229" s="5">
        <v>17113.5</v>
      </c>
      <c r="D229" s="5">
        <v>1465842</v>
      </c>
      <c r="E229" s="4" cm="1">
        <f t="array" ref="E229">_xlfn.XLOOKUP(A229&amp;B229,Лист2!A:A&amp;Лист2!B:B,Лист2!C:C,0,0)</f>
        <v>15</v>
      </c>
      <c r="F229" s="4" cm="1">
        <f t="array" ref="F229">_xlfn.XLOOKUP(A229&amp;B229,Лист2!A:A&amp;Лист2!B:B,Лист2!D:D,0,0)</f>
        <v>996</v>
      </c>
      <c r="G229" s="4" cm="1">
        <f t="array" ref="G229">_xlfn.XLOOKUP(A229&amp;B229,Лист2!A:A&amp;Лист2!B:B,Лист2!E:E,0,0)</f>
        <v>888</v>
      </c>
      <c r="H229" s="27">
        <f t="shared" si="6"/>
        <v>1140.9000000000001</v>
      </c>
      <c r="I229">
        <f t="shared" si="7"/>
        <v>18</v>
      </c>
    </row>
    <row r="230" spans="1:9" ht="14.25" customHeight="1" x14ac:dyDescent="0.45">
      <c r="A230" s="8">
        <v>43963</v>
      </c>
      <c r="B230" s="3" t="s">
        <v>18</v>
      </c>
      <c r="C230" s="3">
        <v>12802.5</v>
      </c>
      <c r="D230" s="3">
        <v>1123830</v>
      </c>
      <c r="E230" s="4" cm="1">
        <f t="array" ref="E230">_xlfn.XLOOKUP(A230&amp;B230,Лист2!A:A&amp;Лист2!B:B,Лист2!C:C,0,0)</f>
        <v>15</v>
      </c>
      <c r="F230" s="4" cm="1">
        <f t="array" ref="F230">_xlfn.XLOOKUP(A230&amp;B230,Лист2!A:A&amp;Лист2!B:B,Лист2!D:D,0,0)</f>
        <v>845</v>
      </c>
      <c r="G230" s="4" cm="1">
        <f t="array" ref="G230">_xlfn.XLOOKUP(A230&amp;B230,Лист2!A:A&amp;Лист2!B:B,Лист2!E:E,0,0)</f>
        <v>743</v>
      </c>
      <c r="H230" s="27">
        <f t="shared" si="6"/>
        <v>853.5</v>
      </c>
      <c r="I230">
        <f t="shared" si="7"/>
        <v>20</v>
      </c>
    </row>
    <row r="231" spans="1:9" ht="14.25" customHeight="1" x14ac:dyDescent="0.45">
      <c r="A231" s="9">
        <v>43972</v>
      </c>
      <c r="B231" s="5" t="s">
        <v>18</v>
      </c>
      <c r="C231" s="5">
        <v>16554</v>
      </c>
      <c r="D231" s="5">
        <v>1380751.5</v>
      </c>
      <c r="E231" s="4" cm="1">
        <f t="array" ref="E231">_xlfn.XLOOKUP(A231&amp;B231,Лист2!A:A&amp;Лист2!B:B,Лист2!C:C,0,0)</f>
        <v>17</v>
      </c>
      <c r="F231" s="4" cm="1">
        <f t="array" ref="F231">_xlfn.XLOOKUP(A231&amp;B231,Лист2!A:A&amp;Лист2!B:B,Лист2!D:D,0,0)</f>
        <v>1045</v>
      </c>
      <c r="G231" s="4" cm="1">
        <f t="array" ref="G231">_xlfn.XLOOKUP(A231&amp;B231,Лист2!A:A&amp;Лист2!B:B,Лист2!E:E,0,0)</f>
        <v>930</v>
      </c>
      <c r="H231" s="27">
        <f t="shared" si="6"/>
        <v>973.8</v>
      </c>
      <c r="I231">
        <f t="shared" si="7"/>
        <v>21</v>
      </c>
    </row>
    <row r="232" spans="1:9" ht="14.25" customHeight="1" x14ac:dyDescent="0.45">
      <c r="A232" s="8">
        <v>43971</v>
      </c>
      <c r="B232" s="3" t="s">
        <v>18</v>
      </c>
      <c r="C232" s="3">
        <v>17329.5</v>
      </c>
      <c r="D232" s="3">
        <v>1430254.5</v>
      </c>
      <c r="E232" s="4" cm="1">
        <f t="array" ref="E232">_xlfn.XLOOKUP(A232&amp;B232,Лист2!A:A&amp;Лист2!B:B,Лист2!C:C,0,0)</f>
        <v>16</v>
      </c>
      <c r="F232" s="4" cm="1">
        <f t="array" ref="F232">_xlfn.XLOOKUP(A232&amp;B232,Лист2!A:A&amp;Лист2!B:B,Лист2!D:D,0,0)</f>
        <v>1050</v>
      </c>
      <c r="G232" s="4" cm="1">
        <f t="array" ref="G232">_xlfn.XLOOKUP(A232&amp;B232,Лист2!A:A&amp;Лист2!B:B,Лист2!E:E,0,0)</f>
        <v>938</v>
      </c>
      <c r="H232" s="27">
        <f t="shared" si="6"/>
        <v>1083.0999999999999</v>
      </c>
      <c r="I232">
        <f t="shared" si="7"/>
        <v>21</v>
      </c>
    </row>
    <row r="233" spans="1:9" ht="14.25" customHeight="1" x14ac:dyDescent="0.45">
      <c r="A233" s="9">
        <v>43956</v>
      </c>
      <c r="B233" s="5" t="s">
        <v>18</v>
      </c>
      <c r="C233" s="5">
        <v>15987</v>
      </c>
      <c r="D233" s="5">
        <v>1384179</v>
      </c>
      <c r="E233" s="4" cm="1">
        <f t="array" ref="E233">_xlfn.XLOOKUP(A233&amp;B233,Лист2!A:A&amp;Лист2!B:B,Лист2!C:C,0,0)</f>
        <v>15</v>
      </c>
      <c r="F233" s="4" cm="1">
        <f t="array" ref="F233">_xlfn.XLOOKUP(A233&amp;B233,Лист2!A:A&amp;Лист2!B:B,Лист2!D:D,0,0)</f>
        <v>922</v>
      </c>
      <c r="G233" s="4" cm="1">
        <f t="array" ref="G233">_xlfn.XLOOKUP(A233&amp;B233,Лист2!A:A&amp;Лист2!B:B,Лист2!E:E,0,0)</f>
        <v>823</v>
      </c>
      <c r="H233" s="27">
        <f t="shared" si="6"/>
        <v>1065.8</v>
      </c>
      <c r="I233">
        <f t="shared" si="7"/>
        <v>19</v>
      </c>
    </row>
    <row r="234" spans="1:9" ht="14.25" customHeight="1" x14ac:dyDescent="0.45">
      <c r="A234" s="8">
        <v>43949</v>
      </c>
      <c r="B234" s="3" t="s">
        <v>18</v>
      </c>
      <c r="C234" s="3">
        <v>13303.5</v>
      </c>
      <c r="D234" s="3">
        <v>1102887</v>
      </c>
      <c r="E234" s="4" cm="1">
        <f t="array" ref="E234">_xlfn.XLOOKUP(A234&amp;B234,Лист2!A:A&amp;Лист2!B:B,Лист2!C:C,0,0)</f>
        <v>15</v>
      </c>
      <c r="F234" s="4" cm="1">
        <f t="array" ref="F234">_xlfn.XLOOKUP(A234&amp;B234,Лист2!A:A&amp;Лист2!B:B,Лист2!D:D,0,0)</f>
        <v>780</v>
      </c>
      <c r="G234" s="4" cm="1">
        <f t="array" ref="G234">_xlfn.XLOOKUP(A234&amp;B234,Лист2!A:A&amp;Лист2!B:B,Лист2!E:E,0,0)</f>
        <v>690</v>
      </c>
      <c r="H234" s="27">
        <f t="shared" si="6"/>
        <v>886.9</v>
      </c>
      <c r="I234">
        <f t="shared" si="7"/>
        <v>18</v>
      </c>
    </row>
    <row r="235" spans="1:9" ht="14.25" customHeight="1" x14ac:dyDescent="0.45">
      <c r="A235" s="9">
        <v>43964</v>
      </c>
      <c r="B235" s="5" t="s">
        <v>18</v>
      </c>
      <c r="C235" s="5">
        <v>14305.5</v>
      </c>
      <c r="D235" s="5">
        <v>1243507.5</v>
      </c>
      <c r="E235" s="4" cm="1">
        <f t="array" ref="E235">_xlfn.XLOOKUP(A235&amp;B235,Лист2!A:A&amp;Лист2!B:B,Лист2!C:C,0,0)</f>
        <v>15</v>
      </c>
      <c r="F235" s="4" cm="1">
        <f t="array" ref="F235">_xlfn.XLOOKUP(A235&amp;B235,Лист2!A:A&amp;Лист2!B:B,Лист2!D:D,0,0)</f>
        <v>898</v>
      </c>
      <c r="G235" s="4" cm="1">
        <f t="array" ref="G235">_xlfn.XLOOKUP(A235&amp;B235,Лист2!A:A&amp;Лист2!B:B,Лист2!E:E,0,0)</f>
        <v>795</v>
      </c>
      <c r="H235" s="27">
        <f t="shared" si="6"/>
        <v>953.7</v>
      </c>
      <c r="I235">
        <f t="shared" si="7"/>
        <v>20</v>
      </c>
    </row>
    <row r="236" spans="1:9" ht="14.25" customHeight="1" x14ac:dyDescent="0.45">
      <c r="A236" s="8">
        <v>43954</v>
      </c>
      <c r="B236" s="3" t="s">
        <v>18</v>
      </c>
      <c r="C236" s="3">
        <v>12924</v>
      </c>
      <c r="D236" s="3">
        <v>1120009.5</v>
      </c>
      <c r="E236" s="4" cm="1">
        <f t="array" ref="E236">_xlfn.XLOOKUP(A236&amp;B236,Лист2!A:A&amp;Лист2!B:B,Лист2!C:C,0,0)</f>
        <v>15</v>
      </c>
      <c r="F236" s="4" cm="1">
        <f t="array" ref="F236">_xlfn.XLOOKUP(A236&amp;B236,Лист2!A:A&amp;Лист2!B:B,Лист2!D:D,0,0)</f>
        <v>784</v>
      </c>
      <c r="G236" s="4" cm="1">
        <f t="array" ref="G236">_xlfn.XLOOKUP(A236&amp;B236,Лист2!A:A&amp;Лист2!B:B,Лист2!E:E,0,0)</f>
        <v>696</v>
      </c>
      <c r="H236" s="27">
        <f t="shared" si="6"/>
        <v>861.6</v>
      </c>
      <c r="I236">
        <f t="shared" si="7"/>
        <v>18</v>
      </c>
    </row>
    <row r="237" spans="1:9" ht="14.25" customHeight="1" x14ac:dyDescent="0.45">
      <c r="A237" s="9">
        <v>43957</v>
      </c>
      <c r="B237" s="5" t="s">
        <v>18</v>
      </c>
      <c r="C237" s="5">
        <v>14061</v>
      </c>
      <c r="D237" s="5">
        <v>1221057</v>
      </c>
      <c r="E237" s="4" cm="1">
        <f t="array" ref="E237">_xlfn.XLOOKUP(A237&amp;B237,Лист2!A:A&amp;Лист2!B:B,Лист2!C:C,0,0)</f>
        <v>15</v>
      </c>
      <c r="F237" s="4" cm="1">
        <f t="array" ref="F237">_xlfn.XLOOKUP(A237&amp;B237,Лист2!A:A&amp;Лист2!B:B,Лист2!D:D,0,0)</f>
        <v>839</v>
      </c>
      <c r="G237" s="4" cm="1">
        <f t="array" ref="G237">_xlfn.XLOOKUP(A237&amp;B237,Лист2!A:A&amp;Лист2!B:B,Лист2!E:E,0,0)</f>
        <v>733</v>
      </c>
      <c r="H237" s="27">
        <f t="shared" si="6"/>
        <v>937.4</v>
      </c>
      <c r="I237">
        <f t="shared" si="7"/>
        <v>19</v>
      </c>
    </row>
    <row r="238" spans="1:9" ht="14.25" customHeight="1" x14ac:dyDescent="0.45">
      <c r="A238" s="8">
        <v>43974</v>
      </c>
      <c r="B238" s="3" t="s">
        <v>18</v>
      </c>
      <c r="C238" s="3">
        <v>21958.5</v>
      </c>
      <c r="D238" s="3">
        <v>1854001.5</v>
      </c>
      <c r="E238" s="4" cm="1">
        <f t="array" ref="E238">_xlfn.XLOOKUP(A238&amp;B238,Лист2!A:A&amp;Лист2!B:B,Лист2!C:C,0,0)</f>
        <v>17</v>
      </c>
      <c r="F238" s="4" cm="1">
        <f t="array" ref="F238">_xlfn.XLOOKUP(A238&amp;B238,Лист2!A:A&amp;Лист2!B:B,Лист2!D:D,0,0)</f>
        <v>1294</v>
      </c>
      <c r="G238" s="4" cm="1">
        <f t="array" ref="G238">_xlfn.XLOOKUP(A238&amp;B238,Лист2!A:A&amp;Лист2!B:B,Лист2!E:E,0,0)</f>
        <v>1155</v>
      </c>
      <c r="H238" s="27">
        <f t="shared" si="6"/>
        <v>1291.7</v>
      </c>
      <c r="I238">
        <f t="shared" si="7"/>
        <v>21</v>
      </c>
    </row>
    <row r="239" spans="1:9" ht="14.25" customHeight="1" x14ac:dyDescent="0.45">
      <c r="A239" s="9">
        <v>43976</v>
      </c>
      <c r="B239" s="5" t="s">
        <v>18</v>
      </c>
      <c r="C239" s="5">
        <v>17211</v>
      </c>
      <c r="D239" s="5">
        <v>1507867.5</v>
      </c>
      <c r="E239" s="4" cm="1">
        <f t="array" ref="E239">_xlfn.XLOOKUP(A239&amp;B239,Лист2!A:A&amp;Лист2!B:B,Лист2!C:C,0,0)</f>
        <v>17</v>
      </c>
      <c r="F239" s="4" cm="1">
        <f t="array" ref="F239">_xlfn.XLOOKUP(A239&amp;B239,Лист2!A:A&amp;Лист2!B:B,Лист2!D:D,0,0)</f>
        <v>1142</v>
      </c>
      <c r="G239" s="4" cm="1">
        <f t="array" ref="G239">_xlfn.XLOOKUP(A239&amp;B239,Лист2!A:A&amp;Лист2!B:B,Лист2!E:E,0,0)</f>
        <v>1020</v>
      </c>
      <c r="H239" s="27">
        <f t="shared" si="6"/>
        <v>1012.4</v>
      </c>
      <c r="I239">
        <f t="shared" si="7"/>
        <v>22</v>
      </c>
    </row>
    <row r="240" spans="1:9" ht="14.25" customHeight="1" x14ac:dyDescent="0.45">
      <c r="A240" s="8">
        <v>43951</v>
      </c>
      <c r="B240" s="3" t="s">
        <v>18</v>
      </c>
      <c r="C240" s="3">
        <v>12753</v>
      </c>
      <c r="D240" s="3">
        <v>1103068.5</v>
      </c>
      <c r="E240" s="4" cm="1">
        <f t="array" ref="E240">_xlfn.XLOOKUP(A240&amp;B240,Лист2!A:A&amp;Лист2!B:B,Лист2!C:C,0,0)</f>
        <v>15</v>
      </c>
      <c r="F240" s="4" cm="1">
        <f t="array" ref="F240">_xlfn.XLOOKUP(A240&amp;B240,Лист2!A:A&amp;Лист2!B:B,Лист2!D:D,0,0)</f>
        <v>791</v>
      </c>
      <c r="G240" s="4" cm="1">
        <f t="array" ref="G240">_xlfn.XLOOKUP(A240&amp;B240,Лист2!A:A&amp;Лист2!B:B,Лист2!E:E,0,0)</f>
        <v>691</v>
      </c>
      <c r="H240" s="27">
        <f t="shared" si="6"/>
        <v>850.2</v>
      </c>
      <c r="I240">
        <f t="shared" si="7"/>
        <v>18</v>
      </c>
    </row>
    <row r="241" spans="1:9" ht="14.25" customHeight="1" x14ac:dyDescent="0.45">
      <c r="A241" s="9">
        <v>43961</v>
      </c>
      <c r="B241" s="5" t="s">
        <v>18</v>
      </c>
      <c r="C241" s="5">
        <v>16435.5</v>
      </c>
      <c r="D241" s="5">
        <v>1471537.5</v>
      </c>
      <c r="E241" s="4" cm="1">
        <f t="array" ref="E241">_xlfn.XLOOKUP(A241&amp;B241,Лист2!A:A&amp;Лист2!B:B,Лист2!C:C,0,0)</f>
        <v>15</v>
      </c>
      <c r="F241" s="4" cm="1">
        <f t="array" ref="F241">_xlfn.XLOOKUP(A241&amp;B241,Лист2!A:A&amp;Лист2!B:B,Лист2!D:D,0,0)</f>
        <v>950</v>
      </c>
      <c r="G241" s="4" cm="1">
        <f t="array" ref="G241">_xlfn.XLOOKUP(A241&amp;B241,Лист2!A:A&amp;Лист2!B:B,Лист2!E:E,0,0)</f>
        <v>848</v>
      </c>
      <c r="H241" s="27">
        <f t="shared" si="6"/>
        <v>1095.7</v>
      </c>
      <c r="I241">
        <f t="shared" si="7"/>
        <v>19</v>
      </c>
    </row>
    <row r="242" spans="1:9" ht="14.25" customHeight="1" x14ac:dyDescent="0.45">
      <c r="A242" s="8">
        <v>43959</v>
      </c>
      <c r="B242" s="3" t="s">
        <v>18</v>
      </c>
      <c r="C242" s="3">
        <v>14494.5</v>
      </c>
      <c r="D242" s="3">
        <v>1269786</v>
      </c>
      <c r="E242" s="4" cm="1">
        <f t="array" ref="E242">_xlfn.XLOOKUP(A242&amp;B242,Лист2!A:A&amp;Лист2!B:B,Лист2!C:C,0,0)</f>
        <v>15</v>
      </c>
      <c r="F242" s="4" cm="1">
        <f t="array" ref="F242">_xlfn.XLOOKUP(A242&amp;B242,Лист2!A:A&amp;Лист2!B:B,Лист2!D:D,0,0)</f>
        <v>879</v>
      </c>
      <c r="G242" s="4" cm="1">
        <f t="array" ref="G242">_xlfn.XLOOKUP(A242&amp;B242,Лист2!A:A&amp;Лист2!B:B,Лист2!E:E,0,0)</f>
        <v>768</v>
      </c>
      <c r="H242" s="27">
        <f t="shared" si="6"/>
        <v>966.3</v>
      </c>
      <c r="I242">
        <f t="shared" si="7"/>
        <v>19</v>
      </c>
    </row>
    <row r="243" spans="1:9" ht="14.25" customHeight="1" x14ac:dyDescent="0.45">
      <c r="A243" s="9">
        <v>43958</v>
      </c>
      <c r="B243" s="5" t="s">
        <v>18</v>
      </c>
      <c r="C243" s="5">
        <v>12705</v>
      </c>
      <c r="D243" s="5">
        <v>1123894.5</v>
      </c>
      <c r="E243" s="4" cm="1">
        <f t="array" ref="E243">_xlfn.XLOOKUP(A243&amp;B243,Лист2!A:A&amp;Лист2!B:B,Лист2!C:C,0,0)</f>
        <v>15</v>
      </c>
      <c r="F243" s="4" cm="1">
        <f t="array" ref="F243">_xlfn.XLOOKUP(A243&amp;B243,Лист2!A:A&amp;Лист2!B:B,Лист2!D:D,0,0)</f>
        <v>805</v>
      </c>
      <c r="G243" s="4" cm="1">
        <f t="array" ref="G243">_xlfn.XLOOKUP(A243&amp;B243,Лист2!A:A&amp;Лист2!B:B,Лист2!E:E,0,0)</f>
        <v>703</v>
      </c>
      <c r="H243" s="27">
        <f t="shared" si="6"/>
        <v>847</v>
      </c>
      <c r="I243">
        <f t="shared" si="7"/>
        <v>19</v>
      </c>
    </row>
    <row r="244" spans="1:9" ht="14.25" customHeight="1" x14ac:dyDescent="0.45">
      <c r="A244" s="8">
        <v>43975</v>
      </c>
      <c r="B244" s="3" t="s">
        <v>18</v>
      </c>
      <c r="C244" s="3">
        <v>18075</v>
      </c>
      <c r="D244" s="3">
        <v>1548099</v>
      </c>
      <c r="E244" s="4" cm="1">
        <f t="array" ref="E244">_xlfn.XLOOKUP(A244&amp;B244,Лист2!A:A&amp;Лист2!B:B,Лист2!C:C,0,0)</f>
        <v>17</v>
      </c>
      <c r="F244" s="4" cm="1">
        <f t="array" ref="F244">_xlfn.XLOOKUP(A244&amp;B244,Лист2!A:A&amp;Лист2!B:B,Лист2!D:D,0,0)</f>
        <v>1128</v>
      </c>
      <c r="G244" s="4" cm="1">
        <f t="array" ref="G244">_xlfn.XLOOKUP(A244&amp;B244,Лист2!A:A&amp;Лист2!B:B,Лист2!E:E,0,0)</f>
        <v>1001</v>
      </c>
      <c r="H244" s="27">
        <f t="shared" si="6"/>
        <v>1063.2</v>
      </c>
      <c r="I244">
        <f t="shared" si="7"/>
        <v>21</v>
      </c>
    </row>
    <row r="245" spans="1:9" ht="14.25" customHeight="1" x14ac:dyDescent="0.45">
      <c r="A245" s="9">
        <v>43967</v>
      </c>
      <c r="B245" s="5" t="s">
        <v>19</v>
      </c>
      <c r="C245" s="5">
        <v>13120.5</v>
      </c>
      <c r="D245" s="5">
        <v>1215033</v>
      </c>
      <c r="E245" s="4" cm="1">
        <f t="array" ref="E245">_xlfn.XLOOKUP(A245&amp;B245,Лист2!A:A&amp;Лист2!B:B,Лист2!C:C,0,0)</f>
        <v>15</v>
      </c>
      <c r="F245" s="4" cm="1">
        <f t="array" ref="F245">_xlfn.XLOOKUP(A245&amp;B245,Лист2!A:A&amp;Лист2!B:B,Лист2!D:D,0,0)</f>
        <v>747</v>
      </c>
      <c r="G245" s="4" cm="1">
        <f t="array" ref="G245">_xlfn.XLOOKUP(A245&amp;B245,Лист2!A:A&amp;Лист2!B:B,Лист2!E:E,0,0)</f>
        <v>647</v>
      </c>
      <c r="H245" s="27">
        <f t="shared" si="6"/>
        <v>874.7</v>
      </c>
      <c r="I245">
        <f t="shared" si="7"/>
        <v>20</v>
      </c>
    </row>
    <row r="246" spans="1:9" ht="14.25" customHeight="1" x14ac:dyDescent="0.45">
      <c r="A246" s="8">
        <v>43970</v>
      </c>
      <c r="B246" s="3" t="s">
        <v>19</v>
      </c>
      <c r="C246" s="3">
        <v>16237.5</v>
      </c>
      <c r="D246" s="3">
        <v>1403047.5</v>
      </c>
      <c r="E246" s="4" cm="1">
        <f t="array" ref="E246">_xlfn.XLOOKUP(A246&amp;B246,Лист2!A:A&amp;Лист2!B:B,Лист2!C:C,0,0)</f>
        <v>15</v>
      </c>
      <c r="F246" s="4" cm="1">
        <f t="array" ref="F246">_xlfn.XLOOKUP(A246&amp;B246,Лист2!A:A&amp;Лист2!B:B,Лист2!D:D,0,0)</f>
        <v>930</v>
      </c>
      <c r="G246" s="4" cm="1">
        <f t="array" ref="G246">_xlfn.XLOOKUP(A246&amp;B246,Лист2!A:A&amp;Лист2!B:B,Лист2!E:E,0,0)</f>
        <v>827</v>
      </c>
      <c r="H246" s="27">
        <f t="shared" si="6"/>
        <v>1082.5</v>
      </c>
      <c r="I246">
        <f t="shared" si="7"/>
        <v>21</v>
      </c>
    </row>
    <row r="247" spans="1:9" ht="14.25" customHeight="1" x14ac:dyDescent="0.45">
      <c r="A247" s="9">
        <v>43968</v>
      </c>
      <c r="B247" s="5" t="s">
        <v>19</v>
      </c>
      <c r="C247" s="5">
        <v>11967</v>
      </c>
      <c r="D247" s="5">
        <v>1060489.5</v>
      </c>
      <c r="E247" s="4" cm="1">
        <f t="array" ref="E247">_xlfn.XLOOKUP(A247&amp;B247,Лист2!A:A&amp;Лист2!B:B,Лист2!C:C,0,0)</f>
        <v>15</v>
      </c>
      <c r="F247" s="4" cm="1">
        <f t="array" ref="F247">_xlfn.XLOOKUP(A247&amp;B247,Лист2!A:A&amp;Лист2!B:B,Лист2!D:D,0,0)</f>
        <v>692</v>
      </c>
      <c r="G247" s="4" cm="1">
        <f t="array" ref="G247">_xlfn.XLOOKUP(A247&amp;B247,Лист2!A:A&amp;Лист2!B:B,Лист2!E:E,0,0)</f>
        <v>591</v>
      </c>
      <c r="H247" s="27">
        <f t="shared" si="6"/>
        <v>797.8</v>
      </c>
      <c r="I247">
        <f t="shared" si="7"/>
        <v>20</v>
      </c>
    </row>
    <row r="248" spans="1:9" ht="14.25" customHeight="1" x14ac:dyDescent="0.45">
      <c r="A248" s="8">
        <v>43960</v>
      </c>
      <c r="B248" s="3" t="s">
        <v>19</v>
      </c>
      <c r="C248" s="3">
        <v>12037.5</v>
      </c>
      <c r="D248" s="3">
        <v>1081216.5</v>
      </c>
      <c r="E248" s="4" cm="1">
        <f t="array" ref="E248">_xlfn.XLOOKUP(A248&amp;B248,Лист2!A:A&amp;Лист2!B:B,Лист2!C:C,0,0)</f>
        <v>15</v>
      </c>
      <c r="F248" s="4" cm="1">
        <f t="array" ref="F248">_xlfn.XLOOKUP(A248&amp;B248,Лист2!A:A&amp;Лист2!B:B,Лист2!D:D,0,0)</f>
        <v>623</v>
      </c>
      <c r="G248" s="4" cm="1">
        <f t="array" ref="G248">_xlfn.XLOOKUP(A248&amp;B248,Лист2!A:A&amp;Лист2!B:B,Лист2!E:E,0,0)</f>
        <v>535</v>
      </c>
      <c r="H248" s="27">
        <f t="shared" si="6"/>
        <v>802.5</v>
      </c>
      <c r="I248">
        <f t="shared" si="7"/>
        <v>19</v>
      </c>
    </row>
    <row r="249" spans="1:9" ht="14.25" customHeight="1" x14ac:dyDescent="0.45">
      <c r="A249" s="9">
        <v>43955</v>
      </c>
      <c r="B249" s="5" t="s">
        <v>19</v>
      </c>
      <c r="C249" s="5">
        <v>7087.5</v>
      </c>
      <c r="D249" s="5">
        <v>610855.5</v>
      </c>
      <c r="E249" s="4" cm="1">
        <f t="array" ref="E249">_xlfn.XLOOKUP(A249&amp;B249,Лист2!A:A&amp;Лист2!B:B,Лист2!C:C,0,0)</f>
        <v>15</v>
      </c>
      <c r="F249" s="4" cm="1">
        <f t="array" ref="F249">_xlfn.XLOOKUP(A249&amp;B249,Лист2!A:A&amp;Лист2!B:B,Лист2!D:D,0,0)</f>
        <v>390</v>
      </c>
      <c r="G249" s="4" cm="1">
        <f t="array" ref="G249">_xlfn.XLOOKUP(A249&amp;B249,Лист2!A:A&amp;Лист2!B:B,Лист2!E:E,0,0)</f>
        <v>315</v>
      </c>
      <c r="H249" s="27">
        <f t="shared" si="6"/>
        <v>472.5</v>
      </c>
      <c r="I249">
        <f t="shared" si="7"/>
        <v>19</v>
      </c>
    </row>
    <row r="250" spans="1:9" ht="14.25" customHeight="1" x14ac:dyDescent="0.45">
      <c r="A250" s="8">
        <v>43950</v>
      </c>
      <c r="B250" s="3" t="s">
        <v>20</v>
      </c>
      <c r="C250" s="3">
        <v>25816.5</v>
      </c>
      <c r="D250" s="3">
        <v>2360914.5</v>
      </c>
      <c r="E250" s="4" cm="1">
        <f t="array" ref="E250">_xlfn.XLOOKUP(A250&amp;B250,Лист2!A:A&amp;Лист2!B:B,Лист2!C:C,0,0)</f>
        <v>18</v>
      </c>
      <c r="F250" s="4" cm="1">
        <f t="array" ref="F250">_xlfn.XLOOKUP(A250&amp;B250,Лист2!A:A&amp;Лист2!B:B,Лист2!D:D,0,0)</f>
        <v>1599</v>
      </c>
      <c r="G250" s="4" cm="1">
        <f t="array" ref="G250">_xlfn.XLOOKUP(A250&amp;B250,Лист2!A:A&amp;Лист2!B:B,Лист2!E:E,0,0)</f>
        <v>1450</v>
      </c>
      <c r="H250" s="27">
        <f t="shared" si="6"/>
        <v>1434.3</v>
      </c>
      <c r="I250">
        <f t="shared" si="7"/>
        <v>18</v>
      </c>
    </row>
    <row r="251" spans="1:9" ht="14.25" customHeight="1" x14ac:dyDescent="0.45">
      <c r="A251" s="9">
        <v>43953</v>
      </c>
      <c r="B251" s="5" t="s">
        <v>19</v>
      </c>
      <c r="C251" s="5">
        <v>4624.5</v>
      </c>
      <c r="D251" s="5">
        <v>433243.5</v>
      </c>
      <c r="E251" s="4" cm="1">
        <f t="array" ref="E251">_xlfn.XLOOKUP(A251&amp;B251,Лист2!A:A&amp;Лист2!B:B,Лист2!C:C,0,0)</f>
        <v>15</v>
      </c>
      <c r="F251" s="4" cm="1">
        <f t="array" ref="F251">_xlfn.XLOOKUP(A251&amp;B251,Лист2!A:A&amp;Лист2!B:B,Лист2!D:D,0,0)</f>
        <v>274</v>
      </c>
      <c r="G251" s="4" cm="1">
        <f t="array" ref="G251">_xlfn.XLOOKUP(A251&amp;B251,Лист2!A:A&amp;Лист2!B:B,Лист2!E:E,0,0)</f>
        <v>203</v>
      </c>
      <c r="H251" s="27">
        <f t="shared" si="6"/>
        <v>308.3</v>
      </c>
      <c r="I251">
        <f t="shared" si="7"/>
        <v>18</v>
      </c>
    </row>
    <row r="252" spans="1:9" ht="14.25" customHeight="1" x14ac:dyDescent="0.45">
      <c r="A252" s="8">
        <v>43977</v>
      </c>
      <c r="B252" s="3" t="s">
        <v>19</v>
      </c>
      <c r="C252" s="3">
        <v>12259.5</v>
      </c>
      <c r="D252" s="3">
        <v>1152054</v>
      </c>
      <c r="E252" s="4" cm="1">
        <f t="array" ref="E252">_xlfn.XLOOKUP(A252&amp;B252,Лист2!A:A&amp;Лист2!B:B,Лист2!C:C,0,0)</f>
        <v>15</v>
      </c>
      <c r="F252" s="4" cm="1">
        <f t="array" ref="F252">_xlfn.XLOOKUP(A252&amp;B252,Лист2!A:A&amp;Лист2!B:B,Лист2!D:D,0,0)</f>
        <v>812</v>
      </c>
      <c r="G252" s="4" cm="1">
        <f t="array" ref="G252">_xlfn.XLOOKUP(A252&amp;B252,Лист2!A:A&amp;Лист2!B:B,Лист2!E:E,0,0)</f>
        <v>711</v>
      </c>
      <c r="H252" s="27">
        <f t="shared" si="6"/>
        <v>817.3</v>
      </c>
      <c r="I252">
        <f t="shared" si="7"/>
        <v>22</v>
      </c>
    </row>
    <row r="253" spans="1:9" ht="14.25" customHeight="1" x14ac:dyDescent="0.45">
      <c r="A253" s="9">
        <v>43952</v>
      </c>
      <c r="B253" s="5" t="s">
        <v>19</v>
      </c>
      <c r="C253" s="5">
        <v>5446.5</v>
      </c>
      <c r="D253" s="5">
        <v>505572</v>
      </c>
      <c r="E253" s="4" cm="1">
        <f t="array" ref="E253">_xlfn.XLOOKUP(A253&amp;B253,Лист2!A:A&amp;Лист2!B:B,Лист2!C:C,0,0)</f>
        <v>15</v>
      </c>
      <c r="F253" s="4" cm="1">
        <f t="array" ref="F253">_xlfn.XLOOKUP(A253&amp;B253,Лист2!A:A&amp;Лист2!B:B,Лист2!D:D,0,0)</f>
        <v>294</v>
      </c>
      <c r="G253" s="4" cm="1">
        <f t="array" ref="G253">_xlfn.XLOOKUP(A253&amp;B253,Лист2!A:A&amp;Лист2!B:B,Лист2!E:E,0,0)</f>
        <v>225</v>
      </c>
      <c r="H253" s="27">
        <f t="shared" si="6"/>
        <v>363.1</v>
      </c>
      <c r="I253">
        <f t="shared" si="7"/>
        <v>18</v>
      </c>
    </row>
    <row r="254" spans="1:9" ht="14.25" customHeight="1" x14ac:dyDescent="0.45">
      <c r="A254" s="8">
        <v>43963</v>
      </c>
      <c r="B254" s="3" t="s">
        <v>19</v>
      </c>
      <c r="C254" s="3">
        <v>11296.5</v>
      </c>
      <c r="D254" s="3">
        <v>989632.5</v>
      </c>
      <c r="E254" s="4" cm="1">
        <f t="array" ref="E254">_xlfn.XLOOKUP(A254&amp;B254,Лист2!A:A&amp;Лист2!B:B,Лист2!C:C,0,0)</f>
        <v>15</v>
      </c>
      <c r="F254" s="4" cm="1">
        <f t="array" ref="F254">_xlfn.XLOOKUP(A254&amp;B254,Лист2!A:A&amp;Лист2!B:B,Лист2!D:D,0,0)</f>
        <v>624</v>
      </c>
      <c r="G254" s="4" cm="1">
        <f t="array" ref="G254">_xlfn.XLOOKUP(A254&amp;B254,Лист2!A:A&amp;Лист2!B:B,Лист2!E:E,0,0)</f>
        <v>538</v>
      </c>
      <c r="H254" s="27">
        <f t="shared" si="6"/>
        <v>753.1</v>
      </c>
      <c r="I254">
        <f t="shared" si="7"/>
        <v>20</v>
      </c>
    </row>
    <row r="255" spans="1:9" ht="14.25" customHeight="1" x14ac:dyDescent="0.45">
      <c r="A255" s="9">
        <v>43972</v>
      </c>
      <c r="B255" s="5" t="s">
        <v>19</v>
      </c>
      <c r="C255" s="5">
        <v>12135</v>
      </c>
      <c r="D255" s="5">
        <v>1103623.5</v>
      </c>
      <c r="E255" s="4" cm="1">
        <f t="array" ref="E255">_xlfn.XLOOKUP(A255&amp;B255,Лист2!A:A&amp;Лист2!B:B,Лист2!C:C,0,0)</f>
        <v>15</v>
      </c>
      <c r="F255" s="4" cm="1">
        <f t="array" ref="F255">_xlfn.XLOOKUP(A255&amp;B255,Лист2!A:A&amp;Лист2!B:B,Лист2!D:D,0,0)</f>
        <v>749</v>
      </c>
      <c r="G255" s="4" cm="1">
        <f t="array" ref="G255">_xlfn.XLOOKUP(A255&amp;B255,Лист2!A:A&amp;Лист2!B:B,Лист2!E:E,0,0)</f>
        <v>652</v>
      </c>
      <c r="H255" s="27">
        <f t="shared" si="6"/>
        <v>809</v>
      </c>
      <c r="I255">
        <f t="shared" si="7"/>
        <v>21</v>
      </c>
    </row>
    <row r="256" spans="1:9" ht="14.25" customHeight="1" x14ac:dyDescent="0.45">
      <c r="A256" s="8">
        <v>43971</v>
      </c>
      <c r="B256" s="3" t="s">
        <v>19</v>
      </c>
      <c r="C256" s="3">
        <v>12630</v>
      </c>
      <c r="D256" s="3">
        <v>1104858</v>
      </c>
      <c r="E256" s="4" cm="1">
        <f t="array" ref="E256">_xlfn.XLOOKUP(A256&amp;B256,Лист2!A:A&amp;Лист2!B:B,Лист2!C:C,0,0)</f>
        <v>15</v>
      </c>
      <c r="F256" s="4" cm="1">
        <f t="array" ref="F256">_xlfn.XLOOKUP(A256&amp;B256,Лист2!A:A&amp;Лист2!B:B,Лист2!D:D,0,0)</f>
        <v>760</v>
      </c>
      <c r="G256" s="4" cm="1">
        <f t="array" ref="G256">_xlfn.XLOOKUP(A256&amp;B256,Лист2!A:A&amp;Лист2!B:B,Лист2!E:E,0,0)</f>
        <v>664</v>
      </c>
      <c r="H256" s="27">
        <f t="shared" si="6"/>
        <v>842</v>
      </c>
      <c r="I256">
        <f t="shared" si="7"/>
        <v>21</v>
      </c>
    </row>
    <row r="257" spans="1:9" ht="14.25" customHeight="1" x14ac:dyDescent="0.45">
      <c r="A257" s="9">
        <v>43956</v>
      </c>
      <c r="B257" s="5" t="s">
        <v>19</v>
      </c>
      <c r="C257" s="5">
        <v>8223</v>
      </c>
      <c r="D257" s="5">
        <v>694593</v>
      </c>
      <c r="E257" s="4" cm="1">
        <f t="array" ref="E257">_xlfn.XLOOKUP(A257&amp;B257,Лист2!A:A&amp;Лист2!B:B,Лист2!C:C,0,0)</f>
        <v>15</v>
      </c>
      <c r="F257" s="4" cm="1">
        <f t="array" ref="F257">_xlfn.XLOOKUP(A257&amp;B257,Лист2!A:A&amp;Лист2!B:B,Лист2!D:D,0,0)</f>
        <v>455</v>
      </c>
      <c r="G257" s="4" cm="1">
        <f t="array" ref="G257">_xlfn.XLOOKUP(A257&amp;B257,Лист2!A:A&amp;Лист2!B:B,Лист2!E:E,0,0)</f>
        <v>381</v>
      </c>
      <c r="H257" s="27">
        <f t="shared" si="6"/>
        <v>548.20000000000005</v>
      </c>
      <c r="I257">
        <f t="shared" si="7"/>
        <v>19</v>
      </c>
    </row>
    <row r="258" spans="1:9" ht="14.25" customHeight="1" x14ac:dyDescent="0.45">
      <c r="A258" s="8">
        <v>43949</v>
      </c>
      <c r="B258" s="3" t="s">
        <v>20</v>
      </c>
      <c r="C258" s="3">
        <v>25149</v>
      </c>
      <c r="D258" s="3">
        <v>2277072</v>
      </c>
      <c r="E258" s="4" cm="1">
        <f t="array" ref="E258">_xlfn.XLOOKUP(A258&amp;B258,Лист2!A:A&amp;Лист2!B:B,Лист2!C:C,0,0)</f>
        <v>18</v>
      </c>
      <c r="F258" s="4" cm="1">
        <f t="array" ref="F258">_xlfn.XLOOKUP(A258&amp;B258,Лист2!A:A&amp;Лист2!B:B,Лист2!D:D,0,0)</f>
        <v>1505</v>
      </c>
      <c r="G258" s="4" cm="1">
        <f t="array" ref="G258">_xlfn.XLOOKUP(A258&amp;B258,Лист2!A:A&amp;Лист2!B:B,Лист2!E:E,0,0)</f>
        <v>1368</v>
      </c>
      <c r="H258" s="27">
        <f t="shared" si="6"/>
        <v>1397.2</v>
      </c>
      <c r="I258">
        <f t="shared" si="7"/>
        <v>18</v>
      </c>
    </row>
    <row r="259" spans="1:9" ht="14.25" customHeight="1" x14ac:dyDescent="0.45">
      <c r="A259" s="9">
        <v>43964</v>
      </c>
      <c r="B259" s="5" t="s">
        <v>19</v>
      </c>
      <c r="C259" s="5">
        <v>10401</v>
      </c>
      <c r="D259" s="5">
        <v>949912.5</v>
      </c>
      <c r="E259" s="4" cm="1">
        <f t="array" ref="E259">_xlfn.XLOOKUP(A259&amp;B259,Лист2!A:A&amp;Лист2!B:B,Лист2!C:C,0,0)</f>
        <v>15</v>
      </c>
      <c r="F259" s="4" cm="1">
        <f t="array" ref="F259">_xlfn.XLOOKUP(A259&amp;B259,Лист2!A:A&amp;Лист2!B:B,Лист2!D:D,0,0)</f>
        <v>599</v>
      </c>
      <c r="G259" s="4" cm="1">
        <f t="array" ref="G259">_xlfn.XLOOKUP(A259&amp;B259,Лист2!A:A&amp;Лист2!B:B,Лист2!E:E,0,0)</f>
        <v>515</v>
      </c>
      <c r="H259" s="27">
        <f t="shared" ref="H259:H322" si="8">ROUND(C259/E259, 1)</f>
        <v>693.4</v>
      </c>
      <c r="I259">
        <f t="shared" ref="I259:I322" si="9">WEEKNUM(A259,2)</f>
        <v>20</v>
      </c>
    </row>
    <row r="260" spans="1:9" ht="14.25" customHeight="1" x14ac:dyDescent="0.45">
      <c r="A260" s="8">
        <v>43982</v>
      </c>
      <c r="B260" s="3" t="s">
        <v>18</v>
      </c>
      <c r="C260" s="3">
        <v>17689.5</v>
      </c>
      <c r="D260" s="3">
        <v>1592119.5</v>
      </c>
      <c r="E260" s="4" cm="1">
        <f t="array" ref="E260">_xlfn.XLOOKUP(A260&amp;B260,Лист2!A:A&amp;Лист2!B:B,Лист2!C:C,0,0)</f>
        <v>17</v>
      </c>
      <c r="F260" s="4" cm="1">
        <f t="array" ref="F260">_xlfn.XLOOKUP(A260&amp;B260,Лист2!A:A&amp;Лист2!B:B,Лист2!D:D,0,0)</f>
        <v>1186</v>
      </c>
      <c r="G260" s="4" cm="1">
        <f t="array" ref="G260">_xlfn.XLOOKUP(A260&amp;B260,Лист2!A:A&amp;Лист2!B:B,Лист2!E:E,0,0)</f>
        <v>1054</v>
      </c>
      <c r="H260" s="27">
        <f t="shared" si="8"/>
        <v>1040.5999999999999</v>
      </c>
      <c r="I260">
        <f t="shared" si="9"/>
        <v>22</v>
      </c>
    </row>
    <row r="261" spans="1:9" ht="14.25" customHeight="1" x14ac:dyDescent="0.45">
      <c r="A261" s="9">
        <v>43954</v>
      </c>
      <c r="B261" s="5" t="s">
        <v>19</v>
      </c>
      <c r="C261" s="5">
        <v>8127</v>
      </c>
      <c r="D261" s="5">
        <v>665302.5</v>
      </c>
      <c r="E261" s="4" cm="1">
        <f t="array" ref="E261">_xlfn.XLOOKUP(A261&amp;B261,Лист2!A:A&amp;Лист2!B:B,Лист2!C:C,0,0)</f>
        <v>15</v>
      </c>
      <c r="F261" s="4" cm="1">
        <f t="array" ref="F261">_xlfn.XLOOKUP(A261&amp;B261,Лист2!A:A&amp;Лист2!B:B,Лист2!D:D,0,0)</f>
        <v>455</v>
      </c>
      <c r="G261" s="4" cm="1">
        <f t="array" ref="G261">_xlfn.XLOOKUP(A261&amp;B261,Лист2!A:A&amp;Лист2!B:B,Лист2!E:E,0,0)</f>
        <v>384</v>
      </c>
      <c r="H261" s="27">
        <f t="shared" si="8"/>
        <v>541.79999999999995</v>
      </c>
      <c r="I261">
        <f t="shared" si="9"/>
        <v>18</v>
      </c>
    </row>
    <row r="262" spans="1:9" ht="14.25" customHeight="1" x14ac:dyDescent="0.45">
      <c r="A262" s="8">
        <v>43981</v>
      </c>
      <c r="B262" s="3" t="s">
        <v>18</v>
      </c>
      <c r="C262" s="3">
        <v>27250.5</v>
      </c>
      <c r="D262" s="3">
        <v>2457252</v>
      </c>
      <c r="E262" s="4" cm="1">
        <f t="array" ref="E262">_xlfn.XLOOKUP(A262&amp;B262,Лист2!A:A&amp;Лист2!B:B,Лист2!C:C,0,0)</f>
        <v>17</v>
      </c>
      <c r="F262" s="4" cm="1">
        <f t="array" ref="F262">_xlfn.XLOOKUP(A262&amp;B262,Лист2!A:A&amp;Лист2!B:B,Лист2!D:D,0,0)</f>
        <v>1697</v>
      </c>
      <c r="G262" s="4" cm="1">
        <f t="array" ref="G262">_xlfn.XLOOKUP(A262&amp;B262,Лист2!A:A&amp;Лист2!B:B,Лист2!E:E,0,0)</f>
        <v>1499</v>
      </c>
      <c r="H262" s="27">
        <f t="shared" si="8"/>
        <v>1603</v>
      </c>
      <c r="I262">
        <f t="shared" si="9"/>
        <v>22</v>
      </c>
    </row>
    <row r="263" spans="1:9" ht="14.25" customHeight="1" x14ac:dyDescent="0.45">
      <c r="A263" s="9">
        <v>43957</v>
      </c>
      <c r="B263" s="5" t="s">
        <v>19</v>
      </c>
      <c r="C263" s="5">
        <v>8464.5</v>
      </c>
      <c r="D263" s="5">
        <v>739291.5</v>
      </c>
      <c r="E263" s="4" cm="1">
        <f t="array" ref="E263">_xlfn.XLOOKUP(A263&amp;B263,Лист2!A:A&amp;Лист2!B:B,Лист2!C:C,0,0)</f>
        <v>15</v>
      </c>
      <c r="F263" s="4" cm="1">
        <f t="array" ref="F263">_xlfn.XLOOKUP(A263&amp;B263,Лист2!A:A&amp;Лист2!B:B,Лист2!D:D,0,0)</f>
        <v>467</v>
      </c>
      <c r="G263" s="4" cm="1">
        <f t="array" ref="G263">_xlfn.XLOOKUP(A263&amp;B263,Лист2!A:A&amp;Лист2!B:B,Лист2!E:E,0,0)</f>
        <v>389</v>
      </c>
      <c r="H263" s="27">
        <f t="shared" si="8"/>
        <v>564.29999999999995</v>
      </c>
      <c r="I263">
        <f t="shared" si="9"/>
        <v>19</v>
      </c>
    </row>
    <row r="264" spans="1:9" ht="14.25" customHeight="1" x14ac:dyDescent="0.45">
      <c r="A264" s="8">
        <v>43974</v>
      </c>
      <c r="B264" s="3" t="s">
        <v>19</v>
      </c>
      <c r="C264" s="3">
        <v>14167.5</v>
      </c>
      <c r="D264" s="3">
        <v>1315075.5</v>
      </c>
      <c r="E264" s="4" cm="1">
        <f t="array" ref="E264">_xlfn.XLOOKUP(A264&amp;B264,Лист2!A:A&amp;Лист2!B:B,Лист2!C:C,0,0)</f>
        <v>15</v>
      </c>
      <c r="F264" s="4" cm="1">
        <f t="array" ref="F264">_xlfn.XLOOKUP(A264&amp;B264,Лист2!A:A&amp;Лист2!B:B,Лист2!D:D,0,0)</f>
        <v>840</v>
      </c>
      <c r="G264" s="4" cm="1">
        <f t="array" ref="G264">_xlfn.XLOOKUP(A264&amp;B264,Лист2!A:A&amp;Лист2!B:B,Лист2!E:E,0,0)</f>
        <v>725</v>
      </c>
      <c r="H264" s="27">
        <f t="shared" si="8"/>
        <v>944.5</v>
      </c>
      <c r="I264">
        <f t="shared" si="9"/>
        <v>21</v>
      </c>
    </row>
    <row r="265" spans="1:9" ht="14.25" customHeight="1" x14ac:dyDescent="0.45">
      <c r="A265" s="9">
        <v>43979</v>
      </c>
      <c r="B265" s="5" t="s">
        <v>18</v>
      </c>
      <c r="C265" s="5">
        <v>16500</v>
      </c>
      <c r="D265" s="5">
        <v>1487928</v>
      </c>
      <c r="E265" s="4" cm="1">
        <f t="array" ref="E265">_xlfn.XLOOKUP(A265&amp;B265,Лист2!A:A&amp;Лист2!B:B,Лист2!C:C,0,0)</f>
        <v>17</v>
      </c>
      <c r="F265" s="4" cm="1">
        <f t="array" ref="F265">_xlfn.XLOOKUP(A265&amp;B265,Лист2!A:A&amp;Лист2!B:B,Лист2!D:D,0,0)</f>
        <v>1097</v>
      </c>
      <c r="G265" s="4" cm="1">
        <f t="array" ref="G265">_xlfn.XLOOKUP(A265&amp;B265,Лист2!A:A&amp;Лист2!B:B,Лист2!E:E,0,0)</f>
        <v>968</v>
      </c>
      <c r="H265" s="27">
        <f t="shared" si="8"/>
        <v>970.6</v>
      </c>
      <c r="I265">
        <f t="shared" si="9"/>
        <v>22</v>
      </c>
    </row>
    <row r="266" spans="1:9" ht="14.25" customHeight="1" x14ac:dyDescent="0.45">
      <c r="A266" s="8">
        <v>43976</v>
      </c>
      <c r="B266" s="3" t="s">
        <v>19</v>
      </c>
      <c r="C266" s="3">
        <v>13260</v>
      </c>
      <c r="D266" s="3">
        <v>1230687</v>
      </c>
      <c r="E266" s="4" cm="1">
        <f t="array" ref="E266">_xlfn.XLOOKUP(A266&amp;B266,Лист2!A:A&amp;Лист2!B:B,Лист2!C:C,0,0)</f>
        <v>15</v>
      </c>
      <c r="F266" s="4" cm="1">
        <f t="array" ref="F266">_xlfn.XLOOKUP(A266&amp;B266,Лист2!A:A&amp;Лист2!B:B,Лист2!D:D,0,0)</f>
        <v>835</v>
      </c>
      <c r="G266" s="4" cm="1">
        <f t="array" ref="G266">_xlfn.XLOOKUP(A266&amp;B266,Лист2!A:A&amp;Лист2!B:B,Лист2!E:E,0,0)</f>
        <v>736</v>
      </c>
      <c r="H266" s="27">
        <f t="shared" si="8"/>
        <v>884</v>
      </c>
      <c r="I266">
        <f t="shared" si="9"/>
        <v>22</v>
      </c>
    </row>
    <row r="267" spans="1:9" ht="14.25" customHeight="1" x14ac:dyDescent="0.45">
      <c r="A267" s="9">
        <v>43951</v>
      </c>
      <c r="B267" s="5" t="s">
        <v>19</v>
      </c>
      <c r="C267" s="5">
        <v>4285.5</v>
      </c>
      <c r="D267" s="5">
        <v>404691</v>
      </c>
      <c r="E267" s="4" cm="1">
        <f t="array" ref="E267">_xlfn.XLOOKUP(A267&amp;B267,Лист2!A:A&amp;Лист2!B:B,Лист2!C:C,0,0)</f>
        <v>15</v>
      </c>
      <c r="F267" s="4" cm="1">
        <f t="array" ref="F267">_xlfn.XLOOKUP(A267&amp;B267,Лист2!A:A&amp;Лист2!B:B,Лист2!D:D,0,0)</f>
        <v>262</v>
      </c>
      <c r="G267" s="4" cm="1">
        <f t="array" ref="G267">_xlfn.XLOOKUP(A267&amp;B267,Лист2!A:A&amp;Лист2!B:B,Лист2!E:E,0,0)</f>
        <v>195</v>
      </c>
      <c r="H267" s="27">
        <f t="shared" si="8"/>
        <v>285.7</v>
      </c>
      <c r="I267">
        <f t="shared" si="9"/>
        <v>18</v>
      </c>
    </row>
    <row r="268" spans="1:9" ht="14.25" customHeight="1" x14ac:dyDescent="0.45">
      <c r="A268" s="8">
        <v>43961</v>
      </c>
      <c r="B268" s="3" t="s">
        <v>19</v>
      </c>
      <c r="C268" s="3">
        <v>13440</v>
      </c>
      <c r="D268" s="3">
        <v>1198285.5</v>
      </c>
      <c r="E268" s="4" cm="1">
        <f t="array" ref="E268">_xlfn.XLOOKUP(A268&amp;B268,Лист2!A:A&amp;Лист2!B:B,Лист2!C:C,0,0)</f>
        <v>15</v>
      </c>
      <c r="F268" s="4" cm="1">
        <f t="array" ref="F268">_xlfn.XLOOKUP(A268&amp;B268,Лист2!A:A&amp;Лист2!B:B,Лист2!D:D,0,0)</f>
        <v>706</v>
      </c>
      <c r="G268" s="4" cm="1">
        <f t="array" ref="G268">_xlfn.XLOOKUP(A268&amp;B268,Лист2!A:A&amp;Лист2!B:B,Лист2!E:E,0,0)</f>
        <v>608</v>
      </c>
      <c r="H268" s="27">
        <f t="shared" si="8"/>
        <v>896</v>
      </c>
      <c r="I268">
        <f t="shared" si="9"/>
        <v>19</v>
      </c>
    </row>
    <row r="269" spans="1:9" ht="14.25" customHeight="1" x14ac:dyDescent="0.45">
      <c r="A269" s="9">
        <v>43959</v>
      </c>
      <c r="B269" s="5" t="s">
        <v>19</v>
      </c>
      <c r="C269" s="5">
        <v>9058.5</v>
      </c>
      <c r="D269" s="5">
        <v>798759</v>
      </c>
      <c r="E269" s="4" cm="1">
        <f t="array" ref="E269">_xlfn.XLOOKUP(A269&amp;B269,Лист2!A:A&amp;Лист2!B:B,Лист2!C:C,0,0)</f>
        <v>15</v>
      </c>
      <c r="F269" s="4" cm="1">
        <f t="array" ref="F269">_xlfn.XLOOKUP(A269&amp;B269,Лист2!A:A&amp;Лист2!B:B,Лист2!D:D,0,0)</f>
        <v>492</v>
      </c>
      <c r="G269" s="4" cm="1">
        <f t="array" ref="G269">_xlfn.XLOOKUP(A269&amp;B269,Лист2!A:A&amp;Лист2!B:B,Лист2!E:E,0,0)</f>
        <v>412</v>
      </c>
      <c r="H269" s="27">
        <f t="shared" si="8"/>
        <v>603.9</v>
      </c>
      <c r="I269">
        <f t="shared" si="9"/>
        <v>19</v>
      </c>
    </row>
    <row r="270" spans="1:9" ht="14.25" customHeight="1" x14ac:dyDescent="0.45">
      <c r="A270" s="8">
        <v>43958</v>
      </c>
      <c r="B270" s="3" t="s">
        <v>19</v>
      </c>
      <c r="C270" s="3">
        <v>8719.5</v>
      </c>
      <c r="D270" s="3">
        <v>769276.5</v>
      </c>
      <c r="E270" s="4" cm="1">
        <f t="array" ref="E270">_xlfn.XLOOKUP(A270&amp;B270,Лист2!A:A&amp;Лист2!B:B,Лист2!C:C,0,0)</f>
        <v>15</v>
      </c>
      <c r="F270" s="4" cm="1">
        <f t="array" ref="F270">_xlfn.XLOOKUP(A270&amp;B270,Лист2!A:A&amp;Лист2!B:B,Лист2!D:D,0,0)</f>
        <v>480</v>
      </c>
      <c r="G270" s="4" cm="1">
        <f t="array" ref="G270">_xlfn.XLOOKUP(A270&amp;B270,Лист2!A:A&amp;Лист2!B:B,Лист2!E:E,0,0)</f>
        <v>398</v>
      </c>
      <c r="H270" s="27">
        <f t="shared" si="8"/>
        <v>581.29999999999995</v>
      </c>
      <c r="I270">
        <f t="shared" si="9"/>
        <v>19</v>
      </c>
    </row>
    <row r="271" spans="1:9" ht="14.25" customHeight="1" x14ac:dyDescent="0.45">
      <c r="A271" s="9">
        <v>43975</v>
      </c>
      <c r="B271" s="5" t="s">
        <v>19</v>
      </c>
      <c r="C271" s="5">
        <v>12666</v>
      </c>
      <c r="D271" s="5">
        <v>1184865</v>
      </c>
      <c r="E271" s="4" cm="1">
        <f t="array" ref="E271">_xlfn.XLOOKUP(A271&amp;B271,Лист2!A:A&amp;Лист2!B:B,Лист2!C:C,0,0)</f>
        <v>15</v>
      </c>
      <c r="F271" s="4" cm="1">
        <f t="array" ref="F271">_xlfn.XLOOKUP(A271&amp;B271,Лист2!A:A&amp;Лист2!B:B,Лист2!D:D,0,0)</f>
        <v>779</v>
      </c>
      <c r="G271" s="4" cm="1">
        <f t="array" ref="G271">_xlfn.XLOOKUP(A271&amp;B271,Лист2!A:A&amp;Лист2!B:B,Лист2!E:E,0,0)</f>
        <v>673</v>
      </c>
      <c r="H271" s="27">
        <f t="shared" si="8"/>
        <v>844.4</v>
      </c>
      <c r="I271">
        <f t="shared" si="9"/>
        <v>21</v>
      </c>
    </row>
    <row r="272" spans="1:9" ht="14.25" customHeight="1" x14ac:dyDescent="0.45">
      <c r="A272" s="8">
        <v>43967</v>
      </c>
      <c r="B272" s="3" t="s">
        <v>20</v>
      </c>
      <c r="C272" s="3">
        <v>34563</v>
      </c>
      <c r="D272" s="3">
        <v>2922883.5</v>
      </c>
      <c r="E272" s="4" cm="1">
        <f t="array" ref="E272">_xlfn.XLOOKUP(A272&amp;B272,Лист2!A:A&amp;Лист2!B:B,Лист2!C:C,0,0)</f>
        <v>19</v>
      </c>
      <c r="F272" s="4" cm="1">
        <f t="array" ref="F272">_xlfn.XLOOKUP(A272&amp;B272,Лист2!A:A&amp;Лист2!B:B,Лист2!D:D,0,0)</f>
        <v>2039</v>
      </c>
      <c r="G272" s="4" cm="1">
        <f t="array" ref="G272">_xlfn.XLOOKUP(A272&amp;B272,Лист2!A:A&amp;Лист2!B:B,Лист2!E:E,0,0)</f>
        <v>1868</v>
      </c>
      <c r="H272" s="27">
        <f t="shared" si="8"/>
        <v>1819.1</v>
      </c>
      <c r="I272">
        <f t="shared" si="9"/>
        <v>20</v>
      </c>
    </row>
    <row r="273" spans="1:9" ht="14.25" customHeight="1" x14ac:dyDescent="0.45">
      <c r="A273" s="9">
        <v>43970</v>
      </c>
      <c r="B273" s="5" t="s">
        <v>20</v>
      </c>
      <c r="C273" s="5">
        <v>28882.5</v>
      </c>
      <c r="D273" s="5">
        <v>2446530</v>
      </c>
      <c r="E273" s="4" cm="1">
        <f t="array" ref="E273">_xlfn.XLOOKUP(A273&amp;B273,Лист2!A:A&amp;Лист2!B:B,Лист2!C:C,0,0)</f>
        <v>19</v>
      </c>
      <c r="F273" s="4" cm="1">
        <f t="array" ref="F273">_xlfn.XLOOKUP(A273&amp;B273,Лист2!A:A&amp;Лист2!B:B,Лист2!D:D,0,0)</f>
        <v>1831</v>
      </c>
      <c r="G273" s="4" cm="1">
        <f t="array" ref="G273">_xlfn.XLOOKUP(A273&amp;B273,Лист2!A:A&amp;Лист2!B:B,Лист2!E:E,0,0)</f>
        <v>1667</v>
      </c>
      <c r="H273" s="27">
        <f t="shared" si="8"/>
        <v>1520.1</v>
      </c>
      <c r="I273">
        <f t="shared" si="9"/>
        <v>21</v>
      </c>
    </row>
    <row r="274" spans="1:9" ht="14.25" customHeight="1" x14ac:dyDescent="0.45">
      <c r="A274" s="8">
        <v>43968</v>
      </c>
      <c r="B274" s="3" t="s">
        <v>20</v>
      </c>
      <c r="C274" s="3">
        <v>28275</v>
      </c>
      <c r="D274" s="3">
        <v>2435632.5</v>
      </c>
      <c r="E274" s="4" cm="1">
        <f t="array" ref="E274">_xlfn.XLOOKUP(A274&amp;B274,Лист2!A:A&amp;Лист2!B:B,Лист2!C:C,0,0)</f>
        <v>19</v>
      </c>
      <c r="F274" s="4" cm="1">
        <f t="array" ref="F274">_xlfn.XLOOKUP(A274&amp;B274,Лист2!A:A&amp;Лист2!B:B,Лист2!D:D,0,0)</f>
        <v>1790</v>
      </c>
      <c r="G274" s="4" cm="1">
        <f t="array" ref="G274">_xlfn.XLOOKUP(A274&amp;B274,Лист2!A:A&amp;Лист2!B:B,Лист2!E:E,0,0)</f>
        <v>1633</v>
      </c>
      <c r="H274" s="27">
        <f t="shared" si="8"/>
        <v>1488.2</v>
      </c>
      <c r="I274">
        <f t="shared" si="9"/>
        <v>20</v>
      </c>
    </row>
    <row r="275" spans="1:9" ht="14.25" customHeight="1" x14ac:dyDescent="0.45">
      <c r="A275" s="9">
        <v>43960</v>
      </c>
      <c r="B275" s="5" t="s">
        <v>20</v>
      </c>
      <c r="C275" s="5">
        <v>26271</v>
      </c>
      <c r="D275" s="5">
        <v>2384937</v>
      </c>
      <c r="E275" s="4" cm="1">
        <f t="array" ref="E275">_xlfn.XLOOKUP(A275&amp;B275,Лист2!A:A&amp;Лист2!B:B,Лист2!C:C,0,0)</f>
        <v>19</v>
      </c>
      <c r="F275" s="4" cm="1">
        <f t="array" ref="F275">_xlfn.XLOOKUP(A275&amp;B275,Лист2!A:A&amp;Лист2!B:B,Лист2!D:D,0,0)</f>
        <v>1542</v>
      </c>
      <c r="G275" s="4" cm="1">
        <f t="array" ref="G275">_xlfn.XLOOKUP(A275&amp;B275,Лист2!A:A&amp;Лист2!B:B,Лист2!E:E,0,0)</f>
        <v>1412</v>
      </c>
      <c r="H275" s="27">
        <f t="shared" si="8"/>
        <v>1382.7</v>
      </c>
      <c r="I275">
        <f t="shared" si="9"/>
        <v>19</v>
      </c>
    </row>
    <row r="276" spans="1:9" ht="14.25" customHeight="1" x14ac:dyDescent="0.45">
      <c r="A276" s="8">
        <v>43955</v>
      </c>
      <c r="B276" s="3" t="s">
        <v>20</v>
      </c>
      <c r="C276" s="3">
        <v>23587.5</v>
      </c>
      <c r="D276" s="3">
        <v>2155668</v>
      </c>
      <c r="E276" s="4" cm="1">
        <f t="array" ref="E276">_xlfn.XLOOKUP(A276&amp;B276,Лист2!A:A&amp;Лист2!B:B,Лист2!C:C,0,0)</f>
        <v>19</v>
      </c>
      <c r="F276" s="4" cm="1">
        <f t="array" ref="F276">_xlfn.XLOOKUP(A276&amp;B276,Лист2!A:A&amp;Лист2!B:B,Лист2!D:D,0,0)</f>
        <v>1479</v>
      </c>
      <c r="G276" s="4" cm="1">
        <f t="array" ref="G276">_xlfn.XLOOKUP(A276&amp;B276,Лист2!A:A&amp;Лист2!B:B,Лист2!E:E,0,0)</f>
        <v>1346</v>
      </c>
      <c r="H276" s="27">
        <f t="shared" si="8"/>
        <v>1241.4000000000001</v>
      </c>
      <c r="I276">
        <f t="shared" si="9"/>
        <v>19</v>
      </c>
    </row>
    <row r="277" spans="1:9" ht="14.25" customHeight="1" x14ac:dyDescent="0.45">
      <c r="A277" s="9">
        <v>43953</v>
      </c>
      <c r="B277" s="5" t="s">
        <v>20</v>
      </c>
      <c r="C277" s="5">
        <v>18427.5</v>
      </c>
      <c r="D277" s="5">
        <v>1682851.5</v>
      </c>
      <c r="E277" s="4" cm="1">
        <f t="array" ref="E277">_xlfn.XLOOKUP(A277&amp;B277,Лист2!A:A&amp;Лист2!B:B,Лист2!C:C,0,0)</f>
        <v>19</v>
      </c>
      <c r="F277" s="4" cm="1">
        <f t="array" ref="F277">_xlfn.XLOOKUP(A277&amp;B277,Лист2!A:A&amp;Лист2!B:B,Лист2!D:D,0,0)</f>
        <v>1206</v>
      </c>
      <c r="G277" s="4" cm="1">
        <f t="array" ref="G277">_xlfn.XLOOKUP(A277&amp;B277,Лист2!A:A&amp;Лист2!B:B,Лист2!E:E,0,0)</f>
        <v>1080</v>
      </c>
      <c r="H277" s="27">
        <f t="shared" si="8"/>
        <v>969.9</v>
      </c>
      <c r="I277">
        <f t="shared" si="9"/>
        <v>18</v>
      </c>
    </row>
    <row r="278" spans="1:9" ht="14.25" customHeight="1" x14ac:dyDescent="0.45">
      <c r="A278" s="8">
        <v>43977</v>
      </c>
      <c r="B278" s="3" t="s">
        <v>20</v>
      </c>
      <c r="C278" s="3">
        <v>27156</v>
      </c>
      <c r="D278" s="3">
        <v>2410803</v>
      </c>
      <c r="E278" s="4" cm="1">
        <f t="array" ref="E278">_xlfn.XLOOKUP(A278&amp;B278,Лист2!A:A&amp;Лист2!B:B,Лист2!C:C,0,0)</f>
        <v>20</v>
      </c>
      <c r="F278" s="4" cm="1">
        <f t="array" ref="F278">_xlfn.XLOOKUP(A278&amp;B278,Лист2!A:A&amp;Лист2!B:B,Лист2!D:D,0,0)</f>
        <v>1814</v>
      </c>
      <c r="G278" s="4" cm="1">
        <f t="array" ref="G278">_xlfn.XLOOKUP(A278&amp;B278,Лист2!A:A&amp;Лист2!B:B,Лист2!E:E,0,0)</f>
        <v>1655</v>
      </c>
      <c r="H278" s="27">
        <f t="shared" si="8"/>
        <v>1357.8</v>
      </c>
      <c r="I278">
        <f t="shared" si="9"/>
        <v>22</v>
      </c>
    </row>
    <row r="279" spans="1:9" ht="14.25" customHeight="1" x14ac:dyDescent="0.45">
      <c r="A279" s="9">
        <v>43952</v>
      </c>
      <c r="B279" s="5" t="s">
        <v>20</v>
      </c>
      <c r="C279" s="5">
        <v>35190</v>
      </c>
      <c r="D279" s="5">
        <v>3168510</v>
      </c>
      <c r="E279" s="4" cm="1">
        <f t="array" ref="E279">_xlfn.XLOOKUP(A279&amp;B279,Лист2!A:A&amp;Лист2!B:B,Лист2!C:C,0,0)</f>
        <v>19</v>
      </c>
      <c r="F279" s="4" cm="1">
        <f t="array" ref="F279">_xlfn.XLOOKUP(A279&amp;B279,Лист2!A:A&amp;Лист2!B:B,Лист2!D:D,0,0)</f>
        <v>1987</v>
      </c>
      <c r="G279" s="4" cm="1">
        <f t="array" ref="G279">_xlfn.XLOOKUP(A279&amp;B279,Лист2!A:A&amp;Лист2!B:B,Лист2!E:E,0,0)</f>
        <v>1791</v>
      </c>
      <c r="H279" s="27">
        <f t="shared" si="8"/>
        <v>1852.1</v>
      </c>
      <c r="I279">
        <f t="shared" si="9"/>
        <v>18</v>
      </c>
    </row>
    <row r="280" spans="1:9" ht="14.25" customHeight="1" x14ac:dyDescent="0.45">
      <c r="A280" s="8">
        <v>43963</v>
      </c>
      <c r="B280" s="3" t="s">
        <v>20</v>
      </c>
      <c r="C280" s="3">
        <v>25483.5</v>
      </c>
      <c r="D280" s="3">
        <v>2243160</v>
      </c>
      <c r="E280" s="4" cm="1">
        <f t="array" ref="E280">_xlfn.XLOOKUP(A280&amp;B280,Лист2!A:A&amp;Лист2!B:B,Лист2!C:C,0,0)</f>
        <v>19</v>
      </c>
      <c r="F280" s="4" cm="1">
        <f t="array" ref="F280">_xlfn.XLOOKUP(A280&amp;B280,Лист2!A:A&amp;Лист2!B:B,Лист2!D:D,0,0)</f>
        <v>1598</v>
      </c>
      <c r="G280" s="4" cm="1">
        <f t="array" ref="G280">_xlfn.XLOOKUP(A280&amp;B280,Лист2!A:A&amp;Лист2!B:B,Лист2!E:E,0,0)</f>
        <v>1454</v>
      </c>
      <c r="H280" s="27">
        <f t="shared" si="8"/>
        <v>1341.2</v>
      </c>
      <c r="I280">
        <f t="shared" si="9"/>
        <v>20</v>
      </c>
    </row>
    <row r="281" spans="1:9" ht="14.25" customHeight="1" x14ac:dyDescent="0.45">
      <c r="A281" s="9">
        <v>43972</v>
      </c>
      <c r="B281" s="5" t="s">
        <v>20</v>
      </c>
      <c r="C281" s="5">
        <v>25362</v>
      </c>
      <c r="D281" s="5">
        <v>2198935.5</v>
      </c>
      <c r="E281" s="4" cm="1">
        <f t="array" ref="E281">_xlfn.XLOOKUP(A281&amp;B281,Лист2!A:A&amp;Лист2!B:B,Лист2!C:C,0,0)</f>
        <v>19</v>
      </c>
      <c r="F281" s="4" cm="1">
        <f t="array" ref="F281">_xlfn.XLOOKUP(A281&amp;B281,Лист2!A:A&amp;Лист2!B:B,Лист2!D:D,0,0)</f>
        <v>1650</v>
      </c>
      <c r="G281" s="4" cm="1">
        <f t="array" ref="G281">_xlfn.XLOOKUP(A281&amp;B281,Лист2!A:A&amp;Лист2!B:B,Лист2!E:E,0,0)</f>
        <v>1505</v>
      </c>
      <c r="H281" s="27">
        <f t="shared" si="8"/>
        <v>1334.8</v>
      </c>
      <c r="I281">
        <f t="shared" si="9"/>
        <v>21</v>
      </c>
    </row>
    <row r="282" spans="1:9" ht="14.25" customHeight="1" x14ac:dyDescent="0.45">
      <c r="A282" s="8">
        <v>43971</v>
      </c>
      <c r="B282" s="3" t="s">
        <v>20</v>
      </c>
      <c r="C282" s="3">
        <v>28849.5</v>
      </c>
      <c r="D282" s="3">
        <v>2520759</v>
      </c>
      <c r="E282" s="4" cm="1">
        <f t="array" ref="E282">_xlfn.XLOOKUP(A282&amp;B282,Лист2!A:A&amp;Лист2!B:B,Лист2!C:C,0,0)</f>
        <v>19</v>
      </c>
      <c r="F282" s="4" cm="1">
        <f t="array" ref="F282">_xlfn.XLOOKUP(A282&amp;B282,Лист2!A:A&amp;Лист2!B:B,Лист2!D:D,0,0)</f>
        <v>1823</v>
      </c>
      <c r="G282" s="4" cm="1">
        <f t="array" ref="G282">_xlfn.XLOOKUP(A282&amp;B282,Лист2!A:A&amp;Лист2!B:B,Лист2!E:E,0,0)</f>
        <v>1678</v>
      </c>
      <c r="H282" s="27">
        <f t="shared" si="8"/>
        <v>1518.4</v>
      </c>
      <c r="I282">
        <f t="shared" si="9"/>
        <v>21</v>
      </c>
    </row>
    <row r="283" spans="1:9" ht="14.25" customHeight="1" x14ac:dyDescent="0.45">
      <c r="A283" s="9">
        <v>43956</v>
      </c>
      <c r="B283" s="5" t="s">
        <v>20</v>
      </c>
      <c r="C283" s="5">
        <v>26367</v>
      </c>
      <c r="D283" s="5">
        <v>2380333.5</v>
      </c>
      <c r="E283" s="4" cm="1">
        <f t="array" ref="E283">_xlfn.XLOOKUP(A283&amp;B283,Лист2!A:A&amp;Лист2!B:B,Лист2!C:C,0,0)</f>
        <v>19</v>
      </c>
      <c r="F283" s="4" cm="1">
        <f t="array" ref="F283">_xlfn.XLOOKUP(A283&amp;B283,Лист2!A:A&amp;Лист2!B:B,Лист2!D:D,0,0)</f>
        <v>1622</v>
      </c>
      <c r="G283" s="4" cm="1">
        <f t="array" ref="G283">_xlfn.XLOOKUP(A283&amp;B283,Лист2!A:A&amp;Лист2!B:B,Лист2!E:E,0,0)</f>
        <v>1482</v>
      </c>
      <c r="H283" s="27">
        <f t="shared" si="8"/>
        <v>1387.7</v>
      </c>
      <c r="I283">
        <f t="shared" si="9"/>
        <v>19</v>
      </c>
    </row>
    <row r="284" spans="1:9" ht="14.25" customHeight="1" x14ac:dyDescent="0.45">
      <c r="A284" s="8">
        <v>43964</v>
      </c>
      <c r="B284" s="3" t="s">
        <v>20</v>
      </c>
      <c r="C284" s="3">
        <v>25539</v>
      </c>
      <c r="D284" s="3">
        <v>2263651.5</v>
      </c>
      <c r="E284" s="4" cm="1">
        <f t="array" ref="E284">_xlfn.XLOOKUP(A284&amp;B284,Лист2!A:A&amp;Лист2!B:B,Лист2!C:C,0,0)</f>
        <v>19</v>
      </c>
      <c r="F284" s="4" cm="1">
        <f t="array" ref="F284">_xlfn.XLOOKUP(A284&amp;B284,Лист2!A:A&amp;Лист2!B:B,Лист2!D:D,0,0)</f>
        <v>1605</v>
      </c>
      <c r="G284" s="4" cm="1">
        <f t="array" ref="G284">_xlfn.XLOOKUP(A284&amp;B284,Лист2!A:A&amp;Лист2!B:B,Лист2!E:E,0,0)</f>
        <v>1447</v>
      </c>
      <c r="H284" s="27">
        <f t="shared" si="8"/>
        <v>1344.2</v>
      </c>
      <c r="I284">
        <f t="shared" si="9"/>
        <v>20</v>
      </c>
    </row>
    <row r="285" spans="1:9" ht="14.25" customHeight="1" x14ac:dyDescent="0.45">
      <c r="A285" s="9">
        <v>43982</v>
      </c>
      <c r="B285" s="5" t="s">
        <v>19</v>
      </c>
      <c r="C285" s="5">
        <v>14808</v>
      </c>
      <c r="D285" s="5">
        <v>1336789.5</v>
      </c>
      <c r="E285" s="4" cm="1">
        <f t="array" ref="E285">_xlfn.XLOOKUP(A285&amp;B285,Лист2!A:A&amp;Лист2!B:B,Лист2!C:C,0,0)</f>
        <v>16</v>
      </c>
      <c r="F285" s="4" cm="1">
        <f t="array" ref="F285">_xlfn.XLOOKUP(A285&amp;B285,Лист2!A:A&amp;Лист2!B:B,Лист2!D:D,0,0)</f>
        <v>917</v>
      </c>
      <c r="G285" s="4" cm="1">
        <f t="array" ref="G285">_xlfn.XLOOKUP(A285&amp;B285,Лист2!A:A&amp;Лист2!B:B,Лист2!E:E,0,0)</f>
        <v>802</v>
      </c>
      <c r="H285" s="27">
        <f t="shared" si="8"/>
        <v>925.5</v>
      </c>
      <c r="I285">
        <f t="shared" si="9"/>
        <v>22</v>
      </c>
    </row>
    <row r="286" spans="1:9" ht="14.25" customHeight="1" x14ac:dyDescent="0.45">
      <c r="A286" s="8">
        <v>43954</v>
      </c>
      <c r="B286" s="3" t="s">
        <v>20</v>
      </c>
      <c r="C286" s="3">
        <v>21343.5</v>
      </c>
      <c r="D286" s="3">
        <v>1906557</v>
      </c>
      <c r="E286" s="4" cm="1">
        <f t="array" ref="E286">_xlfn.XLOOKUP(A286&amp;B286,Лист2!A:A&amp;Лист2!B:B,Лист2!C:C,0,0)</f>
        <v>19</v>
      </c>
      <c r="F286" s="4" cm="1">
        <f t="array" ref="F286">_xlfn.XLOOKUP(A286&amp;B286,Лист2!A:A&amp;Лист2!B:B,Лист2!D:D,0,0)</f>
        <v>1314</v>
      </c>
      <c r="G286" s="4" cm="1">
        <f t="array" ref="G286">_xlfn.XLOOKUP(A286&amp;B286,Лист2!A:A&amp;Лист2!B:B,Лист2!E:E,0,0)</f>
        <v>1192</v>
      </c>
      <c r="H286" s="27">
        <f t="shared" si="8"/>
        <v>1123.3</v>
      </c>
      <c r="I286">
        <f t="shared" si="9"/>
        <v>18</v>
      </c>
    </row>
    <row r="287" spans="1:9" ht="14.25" customHeight="1" x14ac:dyDescent="0.45">
      <c r="A287" s="9">
        <v>43981</v>
      </c>
      <c r="B287" s="5" t="s">
        <v>19</v>
      </c>
      <c r="C287" s="5">
        <v>17946</v>
      </c>
      <c r="D287" s="5">
        <v>1609090.5</v>
      </c>
      <c r="E287" s="4" cm="1">
        <f t="array" ref="E287">_xlfn.XLOOKUP(A287&amp;B287,Лист2!A:A&amp;Лист2!B:B,Лист2!C:C,0,0)</f>
        <v>16</v>
      </c>
      <c r="F287" s="4" cm="1">
        <f t="array" ref="F287">_xlfn.XLOOKUP(A287&amp;B287,Лист2!A:A&amp;Лист2!B:B,Лист2!D:D,0,0)</f>
        <v>1048</v>
      </c>
      <c r="G287" s="4" cm="1">
        <f t="array" ref="G287">_xlfn.XLOOKUP(A287&amp;B287,Лист2!A:A&amp;Лист2!B:B,Лист2!E:E,0,0)</f>
        <v>918</v>
      </c>
      <c r="H287" s="27">
        <f t="shared" si="8"/>
        <v>1121.5999999999999</v>
      </c>
      <c r="I287">
        <f t="shared" si="9"/>
        <v>22</v>
      </c>
    </row>
    <row r="288" spans="1:9" ht="14.25" customHeight="1" x14ac:dyDescent="0.45">
      <c r="A288" s="8">
        <v>43957</v>
      </c>
      <c r="B288" s="3" t="s">
        <v>20</v>
      </c>
      <c r="C288" s="3">
        <v>24337.5</v>
      </c>
      <c r="D288" s="3">
        <v>2159350.5</v>
      </c>
      <c r="E288" s="4" cm="1">
        <f t="array" ref="E288">_xlfn.XLOOKUP(A288&amp;B288,Лист2!A:A&amp;Лист2!B:B,Лист2!C:C,0,0)</f>
        <v>19</v>
      </c>
      <c r="F288" s="4" cm="1">
        <f t="array" ref="F288">_xlfn.XLOOKUP(A288&amp;B288,Лист2!A:A&amp;Лист2!B:B,Лист2!D:D,0,0)</f>
        <v>1509</v>
      </c>
      <c r="G288" s="4" cm="1">
        <f t="array" ref="G288">_xlfn.XLOOKUP(A288&amp;B288,Лист2!A:A&amp;Лист2!B:B,Лист2!E:E,0,0)</f>
        <v>1374</v>
      </c>
      <c r="H288" s="27">
        <f t="shared" si="8"/>
        <v>1280.9000000000001</v>
      </c>
      <c r="I288">
        <f t="shared" si="9"/>
        <v>19</v>
      </c>
    </row>
    <row r="289" spans="1:9" ht="14.25" customHeight="1" x14ac:dyDescent="0.45">
      <c r="A289" s="9">
        <v>43974</v>
      </c>
      <c r="B289" s="5" t="s">
        <v>20</v>
      </c>
      <c r="C289" s="5">
        <v>36997.5</v>
      </c>
      <c r="D289" s="5">
        <v>3089140.5</v>
      </c>
      <c r="E289" s="4" cm="1">
        <f t="array" ref="E289">_xlfn.XLOOKUP(A289&amp;B289,Лист2!A:A&amp;Лист2!B:B,Лист2!C:C,0,0)</f>
        <v>19</v>
      </c>
      <c r="F289" s="4" cm="1">
        <f t="array" ref="F289">_xlfn.XLOOKUP(A289&amp;B289,Лист2!A:A&amp;Лист2!B:B,Лист2!D:D,0,0)</f>
        <v>2195</v>
      </c>
      <c r="G289" s="4" cm="1">
        <f t="array" ref="G289">_xlfn.XLOOKUP(A289&amp;B289,Лист2!A:A&amp;Лист2!B:B,Лист2!E:E,0,0)</f>
        <v>1999</v>
      </c>
      <c r="H289" s="27">
        <f t="shared" si="8"/>
        <v>1947.2</v>
      </c>
      <c r="I289">
        <f t="shared" si="9"/>
        <v>21</v>
      </c>
    </row>
    <row r="290" spans="1:9" ht="14.25" customHeight="1" x14ac:dyDescent="0.45">
      <c r="A290" s="8">
        <v>43979</v>
      </c>
      <c r="B290" s="3" t="s">
        <v>19</v>
      </c>
      <c r="C290" s="3">
        <v>13864.5</v>
      </c>
      <c r="D290" s="3">
        <v>1239747</v>
      </c>
      <c r="E290" s="4" cm="1">
        <f t="array" ref="E290">_xlfn.XLOOKUP(A290&amp;B290,Лист2!A:A&amp;Лист2!B:B,Лист2!C:C,0,0)</f>
        <v>16</v>
      </c>
      <c r="F290" s="4" cm="1">
        <f t="array" ref="F290">_xlfn.XLOOKUP(A290&amp;B290,Лист2!A:A&amp;Лист2!B:B,Лист2!D:D,0,0)</f>
        <v>876</v>
      </c>
      <c r="G290" s="4" cm="1">
        <f t="array" ref="G290">_xlfn.XLOOKUP(A290&amp;B290,Лист2!A:A&amp;Лист2!B:B,Лист2!E:E,0,0)</f>
        <v>762</v>
      </c>
      <c r="H290" s="27">
        <f t="shared" si="8"/>
        <v>866.5</v>
      </c>
      <c r="I290">
        <f t="shared" si="9"/>
        <v>22</v>
      </c>
    </row>
    <row r="291" spans="1:9" ht="14.25" customHeight="1" x14ac:dyDescent="0.45">
      <c r="A291" s="9">
        <v>43976</v>
      </c>
      <c r="B291" s="5" t="s">
        <v>20</v>
      </c>
      <c r="C291" s="5">
        <v>28494</v>
      </c>
      <c r="D291" s="5">
        <v>2512803</v>
      </c>
      <c r="E291" s="4" cm="1">
        <f t="array" ref="E291">_xlfn.XLOOKUP(A291&amp;B291,Лист2!A:A&amp;Лист2!B:B,Лист2!C:C,0,0)</f>
        <v>20</v>
      </c>
      <c r="F291" s="4" cm="1">
        <f t="array" ref="F291">_xlfn.XLOOKUP(A291&amp;B291,Лист2!A:A&amp;Лист2!B:B,Лист2!D:D,0,0)</f>
        <v>1899</v>
      </c>
      <c r="G291" s="4" cm="1">
        <f t="array" ref="G291">_xlfn.XLOOKUP(A291&amp;B291,Лист2!A:A&amp;Лист2!B:B,Лист2!E:E,0,0)</f>
        <v>1738</v>
      </c>
      <c r="H291" s="27">
        <f t="shared" si="8"/>
        <v>1424.7</v>
      </c>
      <c r="I291">
        <f t="shared" si="9"/>
        <v>22</v>
      </c>
    </row>
    <row r="292" spans="1:9" ht="14.25" customHeight="1" x14ac:dyDescent="0.45">
      <c r="A292" s="8">
        <v>43951</v>
      </c>
      <c r="B292" s="3" t="s">
        <v>20</v>
      </c>
      <c r="C292" s="3">
        <v>27883.5</v>
      </c>
      <c r="D292" s="3">
        <v>2560080</v>
      </c>
      <c r="E292" s="4" cm="1">
        <f t="array" ref="E292">_xlfn.XLOOKUP(A292&amp;B292,Лист2!A:A&amp;Лист2!B:B,Лист2!C:C,0,0)</f>
        <v>19</v>
      </c>
      <c r="F292" s="4" cm="1">
        <f t="array" ref="F292">_xlfn.XLOOKUP(A292&amp;B292,Лист2!A:A&amp;Лист2!B:B,Лист2!D:D,0,0)</f>
        <v>1662</v>
      </c>
      <c r="G292" s="4" cm="1">
        <f t="array" ref="G292">_xlfn.XLOOKUP(A292&amp;B292,Лист2!A:A&amp;Лист2!B:B,Лист2!E:E,0,0)</f>
        <v>1506</v>
      </c>
      <c r="H292" s="27">
        <f t="shared" si="8"/>
        <v>1467.6</v>
      </c>
      <c r="I292">
        <f t="shared" si="9"/>
        <v>18</v>
      </c>
    </row>
    <row r="293" spans="1:9" ht="14.25" customHeight="1" x14ac:dyDescent="0.45">
      <c r="A293" s="9">
        <v>43961</v>
      </c>
      <c r="B293" s="5" t="s">
        <v>20</v>
      </c>
      <c r="C293" s="5">
        <v>31224</v>
      </c>
      <c r="D293" s="5">
        <v>2767270.5</v>
      </c>
      <c r="E293" s="4" cm="1">
        <f t="array" ref="E293">_xlfn.XLOOKUP(A293&amp;B293,Лист2!A:A&amp;Лист2!B:B,Лист2!C:C,0,0)</f>
        <v>19</v>
      </c>
      <c r="F293" s="4" cm="1">
        <f t="array" ref="F293">_xlfn.XLOOKUP(A293&amp;B293,Лист2!A:A&amp;Лист2!B:B,Лист2!D:D,0,0)</f>
        <v>1836</v>
      </c>
      <c r="G293" s="4" cm="1">
        <f t="array" ref="G293">_xlfn.XLOOKUP(A293&amp;B293,Лист2!A:A&amp;Лист2!B:B,Лист2!E:E,0,0)</f>
        <v>1680</v>
      </c>
      <c r="H293" s="27">
        <f t="shared" si="8"/>
        <v>1643.4</v>
      </c>
      <c r="I293">
        <f t="shared" si="9"/>
        <v>19</v>
      </c>
    </row>
    <row r="294" spans="1:9" ht="14.25" customHeight="1" x14ac:dyDescent="0.45">
      <c r="A294" s="8">
        <v>43959</v>
      </c>
      <c r="B294" s="3" t="s">
        <v>20</v>
      </c>
      <c r="C294" s="3">
        <v>25020</v>
      </c>
      <c r="D294" s="3">
        <v>2235960</v>
      </c>
      <c r="E294" s="4" cm="1">
        <f t="array" ref="E294">_xlfn.XLOOKUP(A294&amp;B294,Лист2!A:A&amp;Лист2!B:B,Лист2!C:C,0,0)</f>
        <v>19</v>
      </c>
      <c r="F294" s="4" cm="1">
        <f t="array" ref="F294">_xlfn.XLOOKUP(A294&amp;B294,Лист2!A:A&amp;Лист2!B:B,Лист2!D:D,0,0)</f>
        <v>1520</v>
      </c>
      <c r="G294" s="4" cm="1">
        <f t="array" ref="G294">_xlfn.XLOOKUP(A294&amp;B294,Лист2!A:A&amp;Лист2!B:B,Лист2!E:E,0,0)</f>
        <v>1380</v>
      </c>
      <c r="H294" s="27">
        <f t="shared" si="8"/>
        <v>1316.8</v>
      </c>
      <c r="I294">
        <f t="shared" si="9"/>
        <v>19</v>
      </c>
    </row>
    <row r="295" spans="1:9" ht="14.25" customHeight="1" x14ac:dyDescent="0.45">
      <c r="A295" s="9">
        <v>43958</v>
      </c>
      <c r="B295" s="5" t="s">
        <v>20</v>
      </c>
      <c r="C295" s="5">
        <v>26184</v>
      </c>
      <c r="D295" s="5">
        <v>2308336.5</v>
      </c>
      <c r="E295" s="4" cm="1">
        <f t="array" ref="E295">_xlfn.XLOOKUP(A295&amp;B295,Лист2!A:A&amp;Лист2!B:B,Лист2!C:C,0,0)</f>
        <v>19</v>
      </c>
      <c r="F295" s="4" cm="1">
        <f t="array" ref="F295">_xlfn.XLOOKUP(A295&amp;B295,Лист2!A:A&amp;Лист2!B:B,Лист2!D:D,0,0)</f>
        <v>1580</v>
      </c>
      <c r="G295" s="4" cm="1">
        <f t="array" ref="G295">_xlfn.XLOOKUP(A295&amp;B295,Лист2!A:A&amp;Лист2!B:B,Лист2!E:E,0,0)</f>
        <v>1435</v>
      </c>
      <c r="H295" s="27">
        <f t="shared" si="8"/>
        <v>1378.1</v>
      </c>
      <c r="I295">
        <f t="shared" si="9"/>
        <v>19</v>
      </c>
    </row>
    <row r="296" spans="1:9" ht="14.25" customHeight="1" x14ac:dyDescent="0.45">
      <c r="A296" s="8">
        <v>43975</v>
      </c>
      <c r="B296" s="3" t="s">
        <v>20</v>
      </c>
      <c r="C296" s="3">
        <v>29824.5</v>
      </c>
      <c r="D296" s="3">
        <v>2526909</v>
      </c>
      <c r="E296" s="4" cm="1">
        <f t="array" ref="E296">_xlfn.XLOOKUP(A296&amp;B296,Лист2!A:A&amp;Лист2!B:B,Лист2!C:C,0,0)</f>
        <v>19</v>
      </c>
      <c r="F296" s="4" cm="1">
        <f t="array" ref="F296">_xlfn.XLOOKUP(A296&amp;B296,Лист2!A:A&amp;Лист2!B:B,Лист2!D:D,0,0)</f>
        <v>1868</v>
      </c>
      <c r="G296" s="4" cm="1">
        <f t="array" ref="G296">_xlfn.XLOOKUP(A296&amp;B296,Лист2!A:A&amp;Лист2!B:B,Лист2!E:E,0,0)</f>
        <v>1706</v>
      </c>
      <c r="H296" s="27">
        <f t="shared" si="8"/>
        <v>1569.7</v>
      </c>
      <c r="I296">
        <f t="shared" si="9"/>
        <v>21</v>
      </c>
    </row>
    <row r="297" spans="1:9" ht="14.25" customHeight="1" x14ac:dyDescent="0.45">
      <c r="A297" s="9">
        <v>43950</v>
      </c>
      <c r="B297" s="5" t="s">
        <v>21</v>
      </c>
      <c r="C297" s="5">
        <v>208351.5</v>
      </c>
      <c r="D297" s="5">
        <v>21615333</v>
      </c>
      <c r="E297" s="4" cm="1">
        <f t="array" ref="E297">_xlfn.XLOOKUP(A297&amp;B297,Лист2!A:A&amp;Лист2!B:B,Лист2!C:C,0,0)</f>
        <v>59</v>
      </c>
      <c r="F297" s="4" cm="1">
        <f t="array" ref="F297">_xlfn.XLOOKUP(A297&amp;B297,Лист2!A:A&amp;Лист2!B:B,Лист2!D:D,0,0)</f>
        <v>13186</v>
      </c>
      <c r="G297" s="4" cm="1">
        <f t="array" ref="G297">_xlfn.XLOOKUP(A297&amp;B297,Лист2!A:A&amp;Лист2!B:B,Лист2!E:E,0,0)</f>
        <v>12251</v>
      </c>
      <c r="H297" s="27">
        <f t="shared" si="8"/>
        <v>3531.4</v>
      </c>
      <c r="I297">
        <f t="shared" si="9"/>
        <v>18</v>
      </c>
    </row>
    <row r="298" spans="1:9" ht="14.25" customHeight="1" x14ac:dyDescent="0.45">
      <c r="A298" s="8">
        <v>43949</v>
      </c>
      <c r="B298" s="3" t="s">
        <v>21</v>
      </c>
      <c r="C298" s="3">
        <v>204637.5</v>
      </c>
      <c r="D298" s="3">
        <v>21114898.5</v>
      </c>
      <c r="E298" s="4" cm="1">
        <f t="array" ref="E298">_xlfn.XLOOKUP(A298&amp;B298,Лист2!A:A&amp;Лист2!B:B,Лист2!C:C,0,0)</f>
        <v>59</v>
      </c>
      <c r="F298" s="4" cm="1">
        <f t="array" ref="F298">_xlfn.XLOOKUP(A298&amp;B298,Лист2!A:A&amp;Лист2!B:B,Лист2!D:D,0,0)</f>
        <v>12943</v>
      </c>
      <c r="G298" s="4" cm="1">
        <f t="array" ref="G298">_xlfn.XLOOKUP(A298&amp;B298,Лист2!A:A&amp;Лист2!B:B,Лист2!E:E,0,0)</f>
        <v>12072</v>
      </c>
      <c r="H298" s="27">
        <f t="shared" si="8"/>
        <v>3468.4</v>
      </c>
      <c r="I298">
        <f t="shared" si="9"/>
        <v>18</v>
      </c>
    </row>
    <row r="299" spans="1:9" ht="14.25" customHeight="1" x14ac:dyDescent="0.45">
      <c r="A299" s="9">
        <v>43982</v>
      </c>
      <c r="B299" s="5" t="s">
        <v>20</v>
      </c>
      <c r="C299" s="5">
        <v>31372.5</v>
      </c>
      <c r="D299" s="5">
        <v>2794324.5</v>
      </c>
      <c r="E299" s="4" cm="1">
        <f t="array" ref="E299">_xlfn.XLOOKUP(A299&amp;B299,Лист2!A:A&amp;Лист2!B:B,Лист2!C:C,0,0)</f>
        <v>21</v>
      </c>
      <c r="F299" s="4" cm="1">
        <f t="array" ref="F299">_xlfn.XLOOKUP(A299&amp;B299,Лист2!A:A&amp;Лист2!B:B,Лист2!D:D,0,0)</f>
        <v>2056</v>
      </c>
      <c r="G299" s="4" cm="1">
        <f t="array" ref="G299">_xlfn.XLOOKUP(A299&amp;B299,Лист2!A:A&amp;Лист2!B:B,Лист2!E:E,0,0)</f>
        <v>1879</v>
      </c>
      <c r="H299" s="27">
        <f t="shared" si="8"/>
        <v>1493.9</v>
      </c>
      <c r="I299">
        <f t="shared" si="9"/>
        <v>22</v>
      </c>
    </row>
    <row r="300" spans="1:9" ht="14.25" customHeight="1" x14ac:dyDescent="0.45">
      <c r="A300" s="8">
        <v>43981</v>
      </c>
      <c r="B300" s="3" t="s">
        <v>20</v>
      </c>
      <c r="C300" s="3">
        <v>34681.5</v>
      </c>
      <c r="D300" s="3">
        <v>3005334</v>
      </c>
      <c r="E300" s="4" cm="1">
        <f t="array" ref="E300">_xlfn.XLOOKUP(A300&amp;B300,Лист2!A:A&amp;Лист2!B:B,Лист2!C:C,0,0)</f>
        <v>20</v>
      </c>
      <c r="F300" s="4" cm="1">
        <f t="array" ref="F300">_xlfn.XLOOKUP(A300&amp;B300,Лист2!A:A&amp;Лист2!B:B,Лист2!D:D,0,0)</f>
        <v>2174</v>
      </c>
      <c r="G300" s="4" cm="1">
        <f t="array" ref="G300">_xlfn.XLOOKUP(A300&amp;B300,Лист2!A:A&amp;Лист2!B:B,Лист2!E:E,0,0)</f>
        <v>1957</v>
      </c>
      <c r="H300" s="27">
        <f t="shared" si="8"/>
        <v>1734.1</v>
      </c>
      <c r="I300">
        <f t="shared" si="9"/>
        <v>22</v>
      </c>
    </row>
    <row r="301" spans="1:9" ht="14.25" customHeight="1" x14ac:dyDescent="0.45">
      <c r="A301" s="9">
        <v>43979</v>
      </c>
      <c r="B301" s="5" t="s">
        <v>20</v>
      </c>
      <c r="C301" s="5">
        <v>28197</v>
      </c>
      <c r="D301" s="5">
        <v>2559211.5</v>
      </c>
      <c r="E301" s="4" cm="1">
        <f t="array" ref="E301">_xlfn.XLOOKUP(A301&amp;B301,Лист2!A:A&amp;Лист2!B:B,Лист2!C:C,0,0)</f>
        <v>20</v>
      </c>
      <c r="F301" s="4" cm="1">
        <f t="array" ref="F301">_xlfn.XLOOKUP(A301&amp;B301,Лист2!A:A&amp;Лист2!B:B,Лист2!D:D,0,0)</f>
        <v>1875</v>
      </c>
      <c r="G301" s="4" cm="1">
        <f t="array" ref="G301">_xlfn.XLOOKUP(A301&amp;B301,Лист2!A:A&amp;Лист2!B:B,Лист2!E:E,0,0)</f>
        <v>1701</v>
      </c>
      <c r="H301" s="27">
        <f t="shared" si="8"/>
        <v>1409.9</v>
      </c>
      <c r="I301">
        <f t="shared" si="9"/>
        <v>22</v>
      </c>
    </row>
    <row r="302" spans="1:9" ht="14.25" customHeight="1" x14ac:dyDescent="0.45">
      <c r="A302" s="8">
        <v>43967</v>
      </c>
      <c r="B302" s="3" t="s">
        <v>21</v>
      </c>
      <c r="C302" s="3">
        <v>236551.5</v>
      </c>
      <c r="D302" s="3">
        <v>23689383</v>
      </c>
      <c r="E302" s="4" cm="1">
        <f t="array" ref="E302">_xlfn.XLOOKUP(A302&amp;B302,Лист2!A:A&amp;Лист2!B:B,Лист2!C:C,0,0)</f>
        <v>60</v>
      </c>
      <c r="F302" s="4" cm="1">
        <f t="array" ref="F302">_xlfn.XLOOKUP(A302&amp;B302,Лист2!A:A&amp;Лист2!B:B,Лист2!D:D,0,0)</f>
        <v>14049</v>
      </c>
      <c r="G302" s="4" cm="1">
        <f t="array" ref="G302">_xlfn.XLOOKUP(A302&amp;B302,Лист2!A:A&amp;Лист2!B:B,Лист2!E:E,0,0)</f>
        <v>13118</v>
      </c>
      <c r="H302" s="27">
        <f t="shared" si="8"/>
        <v>3942.5</v>
      </c>
      <c r="I302">
        <f t="shared" si="9"/>
        <v>20</v>
      </c>
    </row>
    <row r="303" spans="1:9" ht="14.25" customHeight="1" x14ac:dyDescent="0.45">
      <c r="A303" s="9">
        <v>43970</v>
      </c>
      <c r="B303" s="5" t="s">
        <v>21</v>
      </c>
      <c r="C303" s="5">
        <v>223597.5</v>
      </c>
      <c r="D303" s="5">
        <v>21945858</v>
      </c>
      <c r="E303" s="4" cm="1">
        <f t="array" ref="E303">_xlfn.XLOOKUP(A303&amp;B303,Лист2!A:A&amp;Лист2!B:B,Лист2!C:C,0,0)</f>
        <v>60</v>
      </c>
      <c r="F303" s="4" cm="1">
        <f t="array" ref="F303">_xlfn.XLOOKUP(A303&amp;B303,Лист2!A:A&amp;Лист2!B:B,Лист2!D:D,0,0)</f>
        <v>13867</v>
      </c>
      <c r="G303" s="4" cm="1">
        <f t="array" ref="G303">_xlfn.XLOOKUP(A303&amp;B303,Лист2!A:A&amp;Лист2!B:B,Лист2!E:E,0,0)</f>
        <v>12987</v>
      </c>
      <c r="H303" s="27">
        <f t="shared" si="8"/>
        <v>3726.6</v>
      </c>
      <c r="I303">
        <f t="shared" si="9"/>
        <v>21</v>
      </c>
    </row>
    <row r="304" spans="1:9" ht="14.25" customHeight="1" x14ac:dyDescent="0.45">
      <c r="A304" s="8">
        <v>43968</v>
      </c>
      <c r="B304" s="3" t="s">
        <v>21</v>
      </c>
      <c r="C304" s="3">
        <v>193363.5</v>
      </c>
      <c r="D304" s="3">
        <v>19546386</v>
      </c>
      <c r="E304" s="4" cm="1">
        <f t="array" ref="E304">_xlfn.XLOOKUP(A304&amp;B304,Лист2!A:A&amp;Лист2!B:B,Лист2!C:C,0,0)</f>
        <v>60</v>
      </c>
      <c r="F304" s="4" cm="1">
        <f t="array" ref="F304">_xlfn.XLOOKUP(A304&amp;B304,Лист2!A:A&amp;Лист2!B:B,Лист2!D:D,0,0)</f>
        <v>11698</v>
      </c>
      <c r="G304" s="4" cm="1">
        <f t="array" ref="G304">_xlfn.XLOOKUP(A304&amp;B304,Лист2!A:A&amp;Лист2!B:B,Лист2!E:E,0,0)</f>
        <v>10989</v>
      </c>
      <c r="H304" s="27">
        <f t="shared" si="8"/>
        <v>3222.7</v>
      </c>
      <c r="I304">
        <f t="shared" si="9"/>
        <v>20</v>
      </c>
    </row>
    <row r="305" spans="1:9" ht="14.25" customHeight="1" x14ac:dyDescent="0.45">
      <c r="A305" s="9">
        <v>43960</v>
      </c>
      <c r="B305" s="5" t="s">
        <v>21</v>
      </c>
      <c r="C305" s="5">
        <v>188319</v>
      </c>
      <c r="D305" s="5">
        <v>19218631.5</v>
      </c>
      <c r="E305" s="4" cm="1">
        <f t="array" ref="E305">_xlfn.XLOOKUP(A305&amp;B305,Лист2!A:A&amp;Лист2!B:B,Лист2!C:C,0,0)</f>
        <v>59</v>
      </c>
      <c r="F305" s="4" cm="1">
        <f t="array" ref="F305">_xlfn.XLOOKUP(A305&amp;B305,Лист2!A:A&amp;Лист2!B:B,Лист2!D:D,0,0)</f>
        <v>12016</v>
      </c>
      <c r="G305" s="4" cm="1">
        <f t="array" ref="G305">_xlfn.XLOOKUP(A305&amp;B305,Лист2!A:A&amp;Лист2!B:B,Лист2!E:E,0,0)</f>
        <v>11137</v>
      </c>
      <c r="H305" s="27">
        <f t="shared" si="8"/>
        <v>3191.8</v>
      </c>
      <c r="I305">
        <f t="shared" si="9"/>
        <v>19</v>
      </c>
    </row>
    <row r="306" spans="1:9" ht="14.25" customHeight="1" x14ac:dyDescent="0.45">
      <c r="A306" s="8">
        <v>43955</v>
      </c>
      <c r="B306" s="3" t="s">
        <v>21</v>
      </c>
      <c r="C306" s="3">
        <v>237544.5</v>
      </c>
      <c r="D306" s="3">
        <v>24292218</v>
      </c>
      <c r="E306" s="4" cm="1">
        <f t="array" ref="E306">_xlfn.XLOOKUP(A306&amp;B306,Лист2!A:A&amp;Лист2!B:B,Лист2!C:C,0,0)</f>
        <v>59</v>
      </c>
      <c r="F306" s="4" cm="1">
        <f t="array" ref="F306">_xlfn.XLOOKUP(A306&amp;B306,Лист2!A:A&amp;Лист2!B:B,Лист2!D:D,0,0)</f>
        <v>14423</v>
      </c>
      <c r="G306" s="4" cm="1">
        <f t="array" ref="G306">_xlfn.XLOOKUP(A306&amp;B306,Лист2!A:A&amp;Лист2!B:B,Лист2!E:E,0,0)</f>
        <v>13432</v>
      </c>
      <c r="H306" s="27">
        <f t="shared" si="8"/>
        <v>4026.2</v>
      </c>
      <c r="I306">
        <f t="shared" si="9"/>
        <v>19</v>
      </c>
    </row>
    <row r="307" spans="1:9" ht="14.25" customHeight="1" x14ac:dyDescent="0.45">
      <c r="A307" s="9">
        <v>43950</v>
      </c>
      <c r="B307" s="5" t="s">
        <v>22</v>
      </c>
      <c r="C307" s="5">
        <v>203209.5</v>
      </c>
      <c r="D307" s="5">
        <v>20871391.5</v>
      </c>
      <c r="E307" s="4" cm="1">
        <f t="array" ref="E307">_xlfn.XLOOKUP(A307&amp;B307,Лист2!A:A&amp;Лист2!B:B,Лист2!C:C,0,0)</f>
        <v>54</v>
      </c>
      <c r="F307" s="4" cm="1">
        <f t="array" ref="F307">_xlfn.XLOOKUP(A307&amp;B307,Лист2!A:A&amp;Лист2!B:B,Лист2!D:D,0,0)</f>
        <v>12747</v>
      </c>
      <c r="G307" s="4" cm="1">
        <f t="array" ref="G307">_xlfn.XLOOKUP(A307&amp;B307,Лист2!A:A&amp;Лист2!B:B,Лист2!E:E,0,0)</f>
        <v>11884</v>
      </c>
      <c r="H307" s="27">
        <f t="shared" si="8"/>
        <v>3763.1</v>
      </c>
      <c r="I307">
        <f t="shared" si="9"/>
        <v>18</v>
      </c>
    </row>
    <row r="308" spans="1:9" ht="14.25" customHeight="1" x14ac:dyDescent="0.45">
      <c r="A308" s="8">
        <v>43953</v>
      </c>
      <c r="B308" s="3" t="s">
        <v>21</v>
      </c>
      <c r="C308" s="3">
        <v>185979</v>
      </c>
      <c r="D308" s="3">
        <v>19625364</v>
      </c>
      <c r="E308" s="4" cm="1">
        <f t="array" ref="E308">_xlfn.XLOOKUP(A308&amp;B308,Лист2!A:A&amp;Лист2!B:B,Лист2!C:C,0,0)</f>
        <v>59</v>
      </c>
      <c r="F308" s="4" cm="1">
        <f t="array" ref="F308">_xlfn.XLOOKUP(A308&amp;B308,Лист2!A:A&amp;Лист2!B:B,Лист2!D:D,0,0)</f>
        <v>12429</v>
      </c>
      <c r="G308" s="4" cm="1">
        <f t="array" ref="G308">_xlfn.XLOOKUP(A308&amp;B308,Лист2!A:A&amp;Лист2!B:B,Лист2!E:E,0,0)</f>
        <v>11477</v>
      </c>
      <c r="H308" s="27">
        <f t="shared" si="8"/>
        <v>3152.2</v>
      </c>
      <c r="I308">
        <f t="shared" si="9"/>
        <v>18</v>
      </c>
    </row>
    <row r="309" spans="1:9" ht="14.25" customHeight="1" x14ac:dyDescent="0.45">
      <c r="A309" s="9">
        <v>43977</v>
      </c>
      <c r="B309" s="5" t="s">
        <v>21</v>
      </c>
      <c r="C309" s="5">
        <v>244905</v>
      </c>
      <c r="D309" s="5">
        <v>25163431.5</v>
      </c>
      <c r="E309" s="4" cm="1">
        <f t="array" ref="E309">_xlfn.XLOOKUP(A309&amp;B309,Лист2!A:A&amp;Лист2!B:B,Лист2!C:C,0,0)</f>
        <v>59</v>
      </c>
      <c r="F309" s="4" cm="1">
        <f t="array" ref="F309">_xlfn.XLOOKUP(A309&amp;B309,Лист2!A:A&amp;Лист2!B:B,Лист2!D:D,0,0)</f>
        <v>15369</v>
      </c>
      <c r="G309" s="4" cm="1">
        <f t="array" ref="G309">_xlfn.XLOOKUP(A309&amp;B309,Лист2!A:A&amp;Лист2!B:B,Лист2!E:E,0,0)</f>
        <v>14299</v>
      </c>
      <c r="H309" s="27">
        <f t="shared" si="8"/>
        <v>4150.8999999999996</v>
      </c>
      <c r="I309">
        <f t="shared" si="9"/>
        <v>22</v>
      </c>
    </row>
    <row r="310" spans="1:9" ht="14.25" customHeight="1" x14ac:dyDescent="0.45">
      <c r="A310" s="8">
        <v>43952</v>
      </c>
      <c r="B310" s="3" t="s">
        <v>21</v>
      </c>
      <c r="C310" s="3">
        <v>239409</v>
      </c>
      <c r="D310" s="3">
        <v>25413351</v>
      </c>
      <c r="E310" s="4" cm="1">
        <f t="array" ref="E310">_xlfn.XLOOKUP(A310&amp;B310,Лист2!A:A&amp;Лист2!B:B,Лист2!C:C,0,0)</f>
        <v>59</v>
      </c>
      <c r="F310" s="4" cm="1">
        <f t="array" ref="F310">_xlfn.XLOOKUP(A310&amp;B310,Лист2!A:A&amp;Лист2!B:B,Лист2!D:D,0,0)</f>
        <v>15222</v>
      </c>
      <c r="G310" s="4" cm="1">
        <f t="array" ref="G310">_xlfn.XLOOKUP(A310&amp;B310,Лист2!A:A&amp;Лист2!B:B,Лист2!E:E,0,0)</f>
        <v>13873</v>
      </c>
      <c r="H310" s="27">
        <f t="shared" si="8"/>
        <v>4057.8</v>
      </c>
      <c r="I310">
        <f t="shared" si="9"/>
        <v>18</v>
      </c>
    </row>
    <row r="311" spans="1:9" ht="14.25" customHeight="1" x14ac:dyDescent="0.45">
      <c r="A311" s="9">
        <v>43963</v>
      </c>
      <c r="B311" s="5" t="s">
        <v>21</v>
      </c>
      <c r="C311" s="5">
        <v>192886.5</v>
      </c>
      <c r="D311" s="5">
        <v>19205179.5</v>
      </c>
      <c r="E311" s="4" cm="1">
        <f t="array" ref="E311">_xlfn.XLOOKUP(A311&amp;B311,Лист2!A:A&amp;Лист2!B:B,Лист2!C:C,0,0)</f>
        <v>60</v>
      </c>
      <c r="F311" s="4" cm="1">
        <f t="array" ref="F311">_xlfn.XLOOKUP(A311&amp;B311,Лист2!A:A&amp;Лист2!B:B,Лист2!D:D,0,0)</f>
        <v>12000</v>
      </c>
      <c r="G311" s="4" cm="1">
        <f t="array" ref="G311">_xlfn.XLOOKUP(A311&amp;B311,Лист2!A:A&amp;Лист2!B:B,Лист2!E:E,0,0)</f>
        <v>11194</v>
      </c>
      <c r="H311" s="27">
        <f t="shared" si="8"/>
        <v>3214.8</v>
      </c>
      <c r="I311">
        <f t="shared" si="9"/>
        <v>20</v>
      </c>
    </row>
    <row r="312" spans="1:9" ht="14.25" customHeight="1" x14ac:dyDescent="0.45">
      <c r="A312" s="8">
        <v>43972</v>
      </c>
      <c r="B312" s="3" t="s">
        <v>21</v>
      </c>
      <c r="C312" s="3">
        <v>224233.5</v>
      </c>
      <c r="D312" s="3">
        <v>22253295</v>
      </c>
      <c r="E312" s="4" cm="1">
        <f t="array" ref="E312">_xlfn.XLOOKUP(A312&amp;B312,Лист2!A:A&amp;Лист2!B:B,Лист2!C:C,0,0)</f>
        <v>60</v>
      </c>
      <c r="F312" s="4" cm="1">
        <f t="array" ref="F312">_xlfn.XLOOKUP(A312&amp;B312,Лист2!A:A&amp;Лист2!B:B,Лист2!D:D,0,0)</f>
        <v>14005</v>
      </c>
      <c r="G312" s="4" cm="1">
        <f t="array" ref="G312">_xlfn.XLOOKUP(A312&amp;B312,Лист2!A:A&amp;Лист2!B:B,Лист2!E:E,0,0)</f>
        <v>13002</v>
      </c>
      <c r="H312" s="27">
        <f t="shared" si="8"/>
        <v>3737.2</v>
      </c>
      <c r="I312">
        <f t="shared" si="9"/>
        <v>21</v>
      </c>
    </row>
    <row r="313" spans="1:9" ht="14.25" customHeight="1" x14ac:dyDescent="0.45">
      <c r="A313" s="9">
        <v>43971</v>
      </c>
      <c r="B313" s="5" t="s">
        <v>21</v>
      </c>
      <c r="C313" s="5">
        <v>219622.5</v>
      </c>
      <c r="D313" s="5">
        <v>21959286</v>
      </c>
      <c r="E313" s="4" cm="1">
        <f t="array" ref="E313">_xlfn.XLOOKUP(A313&amp;B313,Лист2!A:A&amp;Лист2!B:B,Лист2!C:C,0,0)</f>
        <v>60</v>
      </c>
      <c r="F313" s="4" cm="1">
        <f t="array" ref="F313">_xlfn.XLOOKUP(A313&amp;B313,Лист2!A:A&amp;Лист2!B:B,Лист2!D:D,0,0)</f>
        <v>13792</v>
      </c>
      <c r="G313" s="4" cm="1">
        <f t="array" ref="G313">_xlfn.XLOOKUP(A313&amp;B313,Лист2!A:A&amp;Лист2!B:B,Лист2!E:E,0,0)</f>
        <v>12834</v>
      </c>
      <c r="H313" s="27">
        <f t="shared" si="8"/>
        <v>3660.4</v>
      </c>
      <c r="I313">
        <f t="shared" si="9"/>
        <v>21</v>
      </c>
    </row>
    <row r="314" spans="1:9" ht="14.25" customHeight="1" x14ac:dyDescent="0.45">
      <c r="A314" s="8">
        <v>43956</v>
      </c>
      <c r="B314" s="3" t="s">
        <v>21</v>
      </c>
      <c r="C314" s="3">
        <v>213582</v>
      </c>
      <c r="D314" s="3">
        <v>21919435.5</v>
      </c>
      <c r="E314" s="4" cm="1">
        <f t="array" ref="E314">_xlfn.XLOOKUP(A314&amp;B314,Лист2!A:A&amp;Лист2!B:B,Лист2!C:C,0,0)</f>
        <v>59</v>
      </c>
      <c r="F314" s="4" cm="1">
        <f t="array" ref="F314">_xlfn.XLOOKUP(A314&amp;B314,Лист2!A:A&amp;Лист2!B:B,Лист2!D:D,0,0)</f>
        <v>13469</v>
      </c>
      <c r="G314" s="4" cm="1">
        <f t="array" ref="G314">_xlfn.XLOOKUP(A314&amp;B314,Лист2!A:A&amp;Лист2!B:B,Лист2!E:E,0,0)</f>
        <v>12486</v>
      </c>
      <c r="H314" s="27">
        <f t="shared" si="8"/>
        <v>3620</v>
      </c>
      <c r="I314">
        <f t="shared" si="9"/>
        <v>19</v>
      </c>
    </row>
    <row r="315" spans="1:9" ht="14.25" customHeight="1" x14ac:dyDescent="0.45">
      <c r="A315" s="9">
        <v>43949</v>
      </c>
      <c r="B315" s="5" t="s">
        <v>22</v>
      </c>
      <c r="C315" s="5">
        <v>195705</v>
      </c>
      <c r="D315" s="5">
        <v>20003263.5</v>
      </c>
      <c r="E315" s="4" cm="1">
        <f t="array" ref="E315">_xlfn.XLOOKUP(A315&amp;B315,Лист2!A:A&amp;Лист2!B:B,Лист2!C:C,0,0)</f>
        <v>54</v>
      </c>
      <c r="F315" s="4" cm="1">
        <f t="array" ref="F315">_xlfn.XLOOKUP(A315&amp;B315,Лист2!A:A&amp;Лист2!B:B,Лист2!D:D,0,0)</f>
        <v>12306</v>
      </c>
      <c r="G315" s="4" cm="1">
        <f t="array" ref="G315">_xlfn.XLOOKUP(A315&amp;B315,Лист2!A:A&amp;Лист2!B:B,Лист2!E:E,0,0)</f>
        <v>11532</v>
      </c>
      <c r="H315" s="27">
        <f t="shared" si="8"/>
        <v>3624.2</v>
      </c>
      <c r="I315">
        <f t="shared" si="9"/>
        <v>18</v>
      </c>
    </row>
    <row r="316" spans="1:9" ht="14.25" customHeight="1" x14ac:dyDescent="0.45">
      <c r="A316" s="8">
        <v>43964</v>
      </c>
      <c r="B316" s="3" t="s">
        <v>21</v>
      </c>
      <c r="C316" s="3">
        <v>193722</v>
      </c>
      <c r="D316" s="3">
        <v>19437273</v>
      </c>
      <c r="E316" s="4" cm="1">
        <f t="array" ref="E316">_xlfn.XLOOKUP(A316&amp;B316,Лист2!A:A&amp;Лист2!B:B,Лист2!C:C,0,0)</f>
        <v>60</v>
      </c>
      <c r="F316" s="4" cm="1">
        <f t="array" ref="F316">_xlfn.XLOOKUP(A316&amp;B316,Лист2!A:A&amp;Лист2!B:B,Лист2!D:D,0,0)</f>
        <v>12007</v>
      </c>
      <c r="G316" s="4" cm="1">
        <f t="array" ref="G316">_xlfn.XLOOKUP(A316&amp;B316,Лист2!A:A&amp;Лист2!B:B,Лист2!E:E,0,0)</f>
        <v>11245</v>
      </c>
      <c r="H316" s="27">
        <f t="shared" si="8"/>
        <v>3228.7</v>
      </c>
      <c r="I316">
        <f t="shared" si="9"/>
        <v>20</v>
      </c>
    </row>
    <row r="317" spans="1:9" ht="14.25" customHeight="1" x14ac:dyDescent="0.45">
      <c r="A317" s="9">
        <v>43954</v>
      </c>
      <c r="B317" s="5" t="s">
        <v>21</v>
      </c>
      <c r="C317" s="5">
        <v>257215.5</v>
      </c>
      <c r="D317" s="5">
        <v>26492278.5</v>
      </c>
      <c r="E317" s="4" cm="1">
        <f t="array" ref="E317">_xlfn.XLOOKUP(A317&amp;B317,Лист2!A:A&amp;Лист2!B:B,Лист2!C:C,0,0)</f>
        <v>59</v>
      </c>
      <c r="F317" s="4" cm="1">
        <f t="array" ref="F317">_xlfn.XLOOKUP(A317&amp;B317,Лист2!A:A&amp;Лист2!B:B,Лист2!D:D,0,0)</f>
        <v>15277</v>
      </c>
      <c r="G317" s="4" cm="1">
        <f t="array" ref="G317">_xlfn.XLOOKUP(A317&amp;B317,Лист2!A:A&amp;Лист2!B:B,Лист2!E:E,0,0)</f>
        <v>14163</v>
      </c>
      <c r="H317" s="27">
        <f t="shared" si="8"/>
        <v>4359.6000000000004</v>
      </c>
      <c r="I317">
        <f t="shared" si="9"/>
        <v>18</v>
      </c>
    </row>
    <row r="318" spans="1:9" ht="14.25" customHeight="1" x14ac:dyDescent="0.45">
      <c r="A318" s="8">
        <v>43957</v>
      </c>
      <c r="B318" s="3" t="s">
        <v>21</v>
      </c>
      <c r="C318" s="3">
        <v>224779.5</v>
      </c>
      <c r="D318" s="3">
        <v>23032992</v>
      </c>
      <c r="E318" s="4" cm="1">
        <f t="array" ref="E318">_xlfn.XLOOKUP(A318&amp;B318,Лист2!A:A&amp;Лист2!B:B,Лист2!C:C,0,0)</f>
        <v>59</v>
      </c>
      <c r="F318" s="4" cm="1">
        <f t="array" ref="F318">_xlfn.XLOOKUP(A318&amp;B318,Лист2!A:A&amp;Лист2!B:B,Лист2!D:D,0,0)</f>
        <v>14103</v>
      </c>
      <c r="G318" s="4" cm="1">
        <f t="array" ref="G318">_xlfn.XLOOKUP(A318&amp;B318,Лист2!A:A&amp;Лист2!B:B,Лист2!E:E,0,0)</f>
        <v>13118</v>
      </c>
      <c r="H318" s="27">
        <f t="shared" si="8"/>
        <v>3809.8</v>
      </c>
      <c r="I318">
        <f t="shared" si="9"/>
        <v>19</v>
      </c>
    </row>
    <row r="319" spans="1:9" ht="14.25" customHeight="1" x14ac:dyDescent="0.45">
      <c r="A319" s="9">
        <v>43974</v>
      </c>
      <c r="B319" s="5" t="s">
        <v>21</v>
      </c>
      <c r="C319" s="5">
        <v>292018.5</v>
      </c>
      <c r="D319" s="5">
        <v>28590910.5</v>
      </c>
      <c r="E319" s="4" cm="1">
        <f t="array" ref="E319">_xlfn.XLOOKUP(A319&amp;B319,Лист2!A:A&amp;Лист2!B:B,Лист2!C:C,0,0)</f>
        <v>60</v>
      </c>
      <c r="F319" s="4" cm="1">
        <f t="array" ref="F319">_xlfn.XLOOKUP(A319&amp;B319,Лист2!A:A&amp;Лист2!B:B,Лист2!D:D,0,0)</f>
        <v>17295</v>
      </c>
      <c r="G319" s="4" cm="1">
        <f t="array" ref="G319">_xlfn.XLOOKUP(A319&amp;B319,Лист2!A:A&amp;Лист2!B:B,Лист2!E:E,0,0)</f>
        <v>16010</v>
      </c>
      <c r="H319" s="27">
        <f t="shared" si="8"/>
        <v>4867</v>
      </c>
      <c r="I319">
        <f t="shared" si="9"/>
        <v>21</v>
      </c>
    </row>
    <row r="320" spans="1:9" ht="14.25" customHeight="1" x14ac:dyDescent="0.45">
      <c r="A320" s="8">
        <v>43976</v>
      </c>
      <c r="B320" s="3" t="s">
        <v>21</v>
      </c>
      <c r="C320" s="3">
        <v>198751.5</v>
      </c>
      <c r="D320" s="3">
        <v>20582743.5</v>
      </c>
      <c r="E320" s="4" cm="1">
        <f t="array" ref="E320">_xlfn.XLOOKUP(A320&amp;B320,Лист2!A:A&amp;Лист2!B:B,Лист2!C:C,0,0)</f>
        <v>59</v>
      </c>
      <c r="F320" s="4" cm="1">
        <f t="array" ref="F320">_xlfn.XLOOKUP(A320&amp;B320,Лист2!A:A&amp;Лист2!B:B,Лист2!D:D,0,0)</f>
        <v>12983</v>
      </c>
      <c r="G320" s="4" cm="1">
        <f t="array" ref="G320">_xlfn.XLOOKUP(A320&amp;B320,Лист2!A:A&amp;Лист2!B:B,Лист2!E:E,0,0)</f>
        <v>12056</v>
      </c>
      <c r="H320" s="27">
        <f t="shared" si="8"/>
        <v>3368.7</v>
      </c>
      <c r="I320">
        <f t="shared" si="9"/>
        <v>22</v>
      </c>
    </row>
    <row r="321" spans="1:9" ht="14.25" customHeight="1" x14ac:dyDescent="0.45">
      <c r="A321" s="9">
        <v>43951</v>
      </c>
      <c r="B321" s="5" t="s">
        <v>21</v>
      </c>
      <c r="C321" s="5">
        <v>214386</v>
      </c>
      <c r="D321" s="5">
        <v>22530000</v>
      </c>
      <c r="E321" s="4" cm="1">
        <f t="array" ref="E321">_xlfn.XLOOKUP(A321&amp;B321,Лист2!A:A&amp;Лист2!B:B,Лист2!C:C,0,0)</f>
        <v>59</v>
      </c>
      <c r="F321" s="4" cm="1">
        <f t="array" ref="F321">_xlfn.XLOOKUP(A321&amp;B321,Лист2!A:A&amp;Лист2!B:B,Лист2!D:D,0,0)</f>
        <v>13251</v>
      </c>
      <c r="G321" s="4" cm="1">
        <f t="array" ref="G321">_xlfn.XLOOKUP(A321&amp;B321,Лист2!A:A&amp;Лист2!B:B,Лист2!E:E,0,0)</f>
        <v>12255</v>
      </c>
      <c r="H321" s="27">
        <f t="shared" si="8"/>
        <v>3633.7</v>
      </c>
      <c r="I321">
        <f t="shared" si="9"/>
        <v>18</v>
      </c>
    </row>
    <row r="322" spans="1:9" ht="14.25" customHeight="1" x14ac:dyDescent="0.45">
      <c r="A322" s="8">
        <v>43961</v>
      </c>
      <c r="B322" s="3" t="s">
        <v>21</v>
      </c>
      <c r="C322" s="3">
        <v>243825</v>
      </c>
      <c r="D322" s="3">
        <v>24890404.5</v>
      </c>
      <c r="E322" s="4" cm="1">
        <f t="array" ref="E322">_xlfn.XLOOKUP(A322&amp;B322,Лист2!A:A&amp;Лист2!B:B,Лист2!C:C,0,0)</f>
        <v>59</v>
      </c>
      <c r="F322" s="4" cm="1">
        <f t="array" ref="F322">_xlfn.XLOOKUP(A322&amp;B322,Лист2!A:A&amp;Лист2!B:B,Лист2!D:D,0,0)</f>
        <v>14569</v>
      </c>
      <c r="G322" s="4" cm="1">
        <f t="array" ref="G322">_xlfn.XLOOKUP(A322&amp;B322,Лист2!A:A&amp;Лист2!B:B,Лист2!E:E,0,0)</f>
        <v>13566</v>
      </c>
      <c r="H322" s="27">
        <f t="shared" si="8"/>
        <v>4132.6000000000004</v>
      </c>
      <c r="I322">
        <f t="shared" si="9"/>
        <v>19</v>
      </c>
    </row>
    <row r="323" spans="1:9" ht="14.25" customHeight="1" x14ac:dyDescent="0.45">
      <c r="A323" s="9">
        <v>43959</v>
      </c>
      <c r="B323" s="5" t="s">
        <v>21</v>
      </c>
      <c r="C323" s="5">
        <v>232701</v>
      </c>
      <c r="D323" s="5">
        <v>23881948.5</v>
      </c>
      <c r="E323" s="4" cm="1">
        <f t="array" ref="E323">_xlfn.XLOOKUP(A323&amp;B323,Лист2!A:A&amp;Лист2!B:B,Лист2!C:C,0,0)</f>
        <v>59</v>
      </c>
      <c r="F323" s="4" cm="1">
        <f t="array" ref="F323">_xlfn.XLOOKUP(A323&amp;B323,Лист2!A:A&amp;Лист2!B:B,Лист2!D:D,0,0)</f>
        <v>14098</v>
      </c>
      <c r="G323" s="4" cm="1">
        <f t="array" ref="G323">_xlfn.XLOOKUP(A323&amp;B323,Лист2!A:A&amp;Лист2!B:B,Лист2!E:E,0,0)</f>
        <v>13106</v>
      </c>
      <c r="H323" s="27">
        <f t="shared" ref="H323:H386" si="10">ROUND(C323/E323, 1)</f>
        <v>3944.1</v>
      </c>
      <c r="I323">
        <f t="shared" ref="I323:I386" si="11">WEEKNUM(A323,2)</f>
        <v>19</v>
      </c>
    </row>
    <row r="324" spans="1:9" ht="14.25" customHeight="1" x14ac:dyDescent="0.45">
      <c r="A324" s="8">
        <v>43958</v>
      </c>
      <c r="B324" s="3" t="s">
        <v>21</v>
      </c>
      <c r="C324" s="3">
        <v>219411</v>
      </c>
      <c r="D324" s="3">
        <v>22460130</v>
      </c>
      <c r="E324" s="4" cm="1">
        <f t="array" ref="E324">_xlfn.XLOOKUP(A324&amp;B324,Лист2!A:A&amp;Лист2!B:B,Лист2!C:C,0,0)</f>
        <v>59</v>
      </c>
      <c r="F324" s="4" cm="1">
        <f t="array" ref="F324">_xlfn.XLOOKUP(A324&amp;B324,Лист2!A:A&amp;Лист2!B:B,Лист2!D:D,0,0)</f>
        <v>13495</v>
      </c>
      <c r="G324" s="4" cm="1">
        <f t="array" ref="G324">_xlfn.XLOOKUP(A324&amp;B324,Лист2!A:A&amp;Лист2!B:B,Лист2!E:E,0,0)</f>
        <v>12517</v>
      </c>
      <c r="H324" s="27">
        <f t="shared" si="10"/>
        <v>3718.8</v>
      </c>
      <c r="I324">
        <f t="shared" si="11"/>
        <v>19</v>
      </c>
    </row>
    <row r="325" spans="1:9" ht="14.25" customHeight="1" x14ac:dyDescent="0.45">
      <c r="A325" s="9">
        <v>43975</v>
      </c>
      <c r="B325" s="5" t="s">
        <v>21</v>
      </c>
      <c r="C325" s="5">
        <v>200029.5</v>
      </c>
      <c r="D325" s="5">
        <v>19959801</v>
      </c>
      <c r="E325" s="4" cm="1">
        <f t="array" ref="E325">_xlfn.XLOOKUP(A325&amp;B325,Лист2!A:A&amp;Лист2!B:B,Лист2!C:C,0,0)</f>
        <v>60</v>
      </c>
      <c r="F325" s="4" cm="1">
        <f t="array" ref="F325">_xlfn.XLOOKUP(A325&amp;B325,Лист2!A:A&amp;Лист2!B:B,Лист2!D:D,0,0)</f>
        <v>12822</v>
      </c>
      <c r="G325" s="4" cm="1">
        <f t="array" ref="G325">_xlfn.XLOOKUP(A325&amp;B325,Лист2!A:A&amp;Лист2!B:B,Лист2!E:E,0,0)</f>
        <v>11916</v>
      </c>
      <c r="H325" s="27">
        <f t="shared" si="10"/>
        <v>3333.8</v>
      </c>
      <c r="I325">
        <f t="shared" si="11"/>
        <v>21</v>
      </c>
    </row>
    <row r="326" spans="1:9" ht="14.25" customHeight="1" x14ac:dyDescent="0.45">
      <c r="A326" s="8">
        <v>43967</v>
      </c>
      <c r="B326" s="3" t="s">
        <v>22</v>
      </c>
      <c r="C326" s="3">
        <v>225480</v>
      </c>
      <c r="D326" s="3">
        <v>22355338.5</v>
      </c>
      <c r="E326" s="4" cm="1">
        <f t="array" ref="E326">_xlfn.XLOOKUP(A326&amp;B326,Лист2!A:A&amp;Лист2!B:B,Лист2!C:C,0,0)</f>
        <v>54</v>
      </c>
      <c r="F326" s="4" cm="1">
        <f t="array" ref="F326">_xlfn.XLOOKUP(A326&amp;B326,Лист2!A:A&amp;Лист2!B:B,Лист2!D:D,0,0)</f>
        <v>13170</v>
      </c>
      <c r="G326" s="4" cm="1">
        <f t="array" ref="G326">_xlfn.XLOOKUP(A326&amp;B326,Лист2!A:A&amp;Лист2!B:B,Лист2!E:E,0,0)</f>
        <v>12299</v>
      </c>
      <c r="H326" s="27">
        <f t="shared" si="10"/>
        <v>4175.6000000000004</v>
      </c>
      <c r="I326">
        <f t="shared" si="11"/>
        <v>20</v>
      </c>
    </row>
    <row r="327" spans="1:9" ht="14.25" customHeight="1" x14ac:dyDescent="0.45">
      <c r="A327" s="9">
        <v>43970</v>
      </c>
      <c r="B327" s="5" t="s">
        <v>22</v>
      </c>
      <c r="C327" s="5">
        <v>211453.5</v>
      </c>
      <c r="D327" s="5">
        <v>20590072.5</v>
      </c>
      <c r="E327" s="4" cm="1">
        <f t="array" ref="E327">_xlfn.XLOOKUP(A327&amp;B327,Лист2!A:A&amp;Лист2!B:B,Лист2!C:C,0,0)</f>
        <v>54</v>
      </c>
      <c r="F327" s="4" cm="1">
        <f t="array" ref="F327">_xlfn.XLOOKUP(A327&amp;B327,Лист2!A:A&amp;Лист2!B:B,Лист2!D:D,0,0)</f>
        <v>13070</v>
      </c>
      <c r="G327" s="4" cm="1">
        <f t="array" ref="G327">_xlfn.XLOOKUP(A327&amp;B327,Лист2!A:A&amp;Лист2!B:B,Лист2!E:E,0,0)</f>
        <v>12244</v>
      </c>
      <c r="H327" s="27">
        <f t="shared" si="10"/>
        <v>3915.8</v>
      </c>
      <c r="I327">
        <f t="shared" si="11"/>
        <v>21</v>
      </c>
    </row>
    <row r="328" spans="1:9" ht="14.25" customHeight="1" x14ac:dyDescent="0.45">
      <c r="A328" s="8">
        <v>43968</v>
      </c>
      <c r="B328" s="3" t="s">
        <v>22</v>
      </c>
      <c r="C328" s="3">
        <v>184801.5</v>
      </c>
      <c r="D328" s="3">
        <v>18449091</v>
      </c>
      <c r="E328" s="4" cm="1">
        <f t="array" ref="E328">_xlfn.XLOOKUP(A328&amp;B328,Лист2!A:A&amp;Лист2!B:B,Лист2!C:C,0,0)</f>
        <v>54</v>
      </c>
      <c r="F328" s="4" cm="1">
        <f t="array" ref="F328">_xlfn.XLOOKUP(A328&amp;B328,Лист2!A:A&amp;Лист2!B:B,Лист2!D:D,0,0)</f>
        <v>11128</v>
      </c>
      <c r="G328" s="4" cm="1">
        <f t="array" ref="G328">_xlfn.XLOOKUP(A328&amp;B328,Лист2!A:A&amp;Лист2!B:B,Лист2!E:E,0,0)</f>
        <v>10467</v>
      </c>
      <c r="H328" s="27">
        <f t="shared" si="10"/>
        <v>3422.3</v>
      </c>
      <c r="I328">
        <f t="shared" si="11"/>
        <v>20</v>
      </c>
    </row>
    <row r="329" spans="1:9" ht="14.25" customHeight="1" x14ac:dyDescent="0.45">
      <c r="A329" s="9">
        <v>43960</v>
      </c>
      <c r="B329" s="5" t="s">
        <v>22</v>
      </c>
      <c r="C329" s="5">
        <v>177976.5</v>
      </c>
      <c r="D329" s="5">
        <v>18085798.5</v>
      </c>
      <c r="E329" s="4" cm="1">
        <f t="array" ref="E329">_xlfn.XLOOKUP(A329&amp;B329,Лист2!A:A&amp;Лист2!B:B,Лист2!C:C,0,0)</f>
        <v>54</v>
      </c>
      <c r="F329" s="4" cm="1">
        <f t="array" ref="F329">_xlfn.XLOOKUP(A329&amp;B329,Лист2!A:A&amp;Лист2!B:B,Лист2!D:D,0,0)</f>
        <v>11288</v>
      </c>
      <c r="G329" s="4" cm="1">
        <f t="array" ref="G329">_xlfn.XLOOKUP(A329&amp;B329,Лист2!A:A&amp;Лист2!B:B,Лист2!E:E,0,0)</f>
        <v>10492</v>
      </c>
      <c r="H329" s="27">
        <f t="shared" si="10"/>
        <v>3295.9</v>
      </c>
      <c r="I329">
        <f t="shared" si="11"/>
        <v>19</v>
      </c>
    </row>
    <row r="330" spans="1:9" ht="14.25" customHeight="1" x14ac:dyDescent="0.45">
      <c r="A330" s="8">
        <v>43955</v>
      </c>
      <c r="B330" s="3" t="s">
        <v>22</v>
      </c>
      <c r="C330" s="3">
        <v>223617</v>
      </c>
      <c r="D330" s="3">
        <v>22796827.5</v>
      </c>
      <c r="E330" s="4" cm="1">
        <f t="array" ref="E330">_xlfn.XLOOKUP(A330&amp;B330,Лист2!A:A&amp;Лист2!B:B,Лист2!C:C,0,0)</f>
        <v>54</v>
      </c>
      <c r="F330" s="4" cm="1">
        <f t="array" ref="F330">_xlfn.XLOOKUP(A330&amp;B330,Лист2!A:A&amp;Лист2!B:B,Лист2!D:D,0,0)</f>
        <v>13606</v>
      </c>
      <c r="G330" s="4" cm="1">
        <f t="array" ref="G330">_xlfn.XLOOKUP(A330&amp;B330,Лист2!A:A&amp;Лист2!B:B,Лист2!E:E,0,0)</f>
        <v>12697</v>
      </c>
      <c r="H330" s="27">
        <f t="shared" si="10"/>
        <v>4141.1000000000004</v>
      </c>
      <c r="I330">
        <f t="shared" si="11"/>
        <v>19</v>
      </c>
    </row>
    <row r="331" spans="1:9" ht="14.25" customHeight="1" x14ac:dyDescent="0.45">
      <c r="A331" s="9">
        <v>43953</v>
      </c>
      <c r="B331" s="5" t="s">
        <v>22</v>
      </c>
      <c r="C331" s="5">
        <v>176397</v>
      </c>
      <c r="D331" s="5">
        <v>18625921.5</v>
      </c>
      <c r="E331" s="4" cm="1">
        <f t="array" ref="E331">_xlfn.XLOOKUP(A331&amp;B331,Лист2!A:A&amp;Лист2!B:B,Лист2!C:C,0,0)</f>
        <v>54</v>
      </c>
      <c r="F331" s="4" cm="1">
        <f t="array" ref="F331">_xlfn.XLOOKUP(A331&amp;B331,Лист2!A:A&amp;Лист2!B:B,Лист2!D:D,0,0)</f>
        <v>11622</v>
      </c>
      <c r="G331" s="4" cm="1">
        <f t="array" ref="G331">_xlfn.XLOOKUP(A331&amp;B331,Лист2!A:A&amp;Лист2!B:B,Лист2!E:E,0,0)</f>
        <v>10754</v>
      </c>
      <c r="H331" s="27">
        <f t="shared" si="10"/>
        <v>3266.6</v>
      </c>
      <c r="I331">
        <f t="shared" si="11"/>
        <v>18</v>
      </c>
    </row>
    <row r="332" spans="1:9" ht="14.25" customHeight="1" x14ac:dyDescent="0.45">
      <c r="A332" s="8">
        <v>43977</v>
      </c>
      <c r="B332" s="3" t="s">
        <v>22</v>
      </c>
      <c r="C332" s="3">
        <v>232369.5</v>
      </c>
      <c r="D332" s="3">
        <v>23856345</v>
      </c>
      <c r="E332" s="4" cm="1">
        <f t="array" ref="E332">_xlfn.XLOOKUP(A332&amp;B332,Лист2!A:A&amp;Лист2!B:B,Лист2!C:C,0,0)</f>
        <v>54</v>
      </c>
      <c r="F332" s="4" cm="1">
        <f t="array" ref="F332">_xlfn.XLOOKUP(A332&amp;B332,Лист2!A:A&amp;Лист2!B:B,Лист2!D:D,0,0)</f>
        <v>14482</v>
      </c>
      <c r="G332" s="4" cm="1">
        <f t="array" ref="G332">_xlfn.XLOOKUP(A332&amp;B332,Лист2!A:A&amp;Лист2!B:B,Лист2!E:E,0,0)</f>
        <v>13510</v>
      </c>
      <c r="H332" s="27">
        <f t="shared" si="10"/>
        <v>4303.1000000000004</v>
      </c>
      <c r="I332">
        <f t="shared" si="11"/>
        <v>22</v>
      </c>
    </row>
    <row r="333" spans="1:9" ht="14.25" customHeight="1" x14ac:dyDescent="0.45">
      <c r="A333" s="9">
        <v>43952</v>
      </c>
      <c r="B333" s="5" t="s">
        <v>22</v>
      </c>
      <c r="C333" s="5">
        <v>226540.5</v>
      </c>
      <c r="D333" s="5">
        <v>23953536</v>
      </c>
      <c r="E333" s="4" cm="1">
        <f t="array" ref="E333">_xlfn.XLOOKUP(A333&amp;B333,Лист2!A:A&amp;Лист2!B:B,Лист2!C:C,0,0)</f>
        <v>54</v>
      </c>
      <c r="F333" s="4" cm="1">
        <f t="array" ref="F333">_xlfn.XLOOKUP(A333&amp;B333,Лист2!A:A&amp;Лист2!B:B,Лист2!D:D,0,0)</f>
        <v>14205</v>
      </c>
      <c r="G333" s="4" cm="1">
        <f t="array" ref="G333">_xlfn.XLOOKUP(A333&amp;B333,Лист2!A:A&amp;Лист2!B:B,Лист2!E:E,0,0)</f>
        <v>13026</v>
      </c>
      <c r="H333" s="27">
        <f t="shared" si="10"/>
        <v>4195.2</v>
      </c>
      <c r="I333">
        <f t="shared" si="11"/>
        <v>18</v>
      </c>
    </row>
    <row r="334" spans="1:9" ht="14.25" customHeight="1" x14ac:dyDescent="0.45">
      <c r="A334" s="8">
        <v>43963</v>
      </c>
      <c r="B334" s="3" t="s">
        <v>22</v>
      </c>
      <c r="C334" s="3">
        <v>189679.5</v>
      </c>
      <c r="D334" s="3">
        <v>18718036.5</v>
      </c>
      <c r="E334" s="4" cm="1">
        <f t="array" ref="E334">_xlfn.XLOOKUP(A334&amp;B334,Лист2!A:A&amp;Лист2!B:B,Лист2!C:C,0,0)</f>
        <v>54</v>
      </c>
      <c r="F334" s="4" cm="1">
        <f t="array" ref="F334">_xlfn.XLOOKUP(A334&amp;B334,Лист2!A:A&amp;Лист2!B:B,Лист2!D:D,0,0)</f>
        <v>11614</v>
      </c>
      <c r="G334" s="4" cm="1">
        <f t="array" ref="G334">_xlfn.XLOOKUP(A334&amp;B334,Лист2!A:A&amp;Лист2!B:B,Лист2!E:E,0,0)</f>
        <v>10862</v>
      </c>
      <c r="H334" s="27">
        <f t="shared" si="10"/>
        <v>3512.6</v>
      </c>
      <c r="I334">
        <f t="shared" si="11"/>
        <v>20</v>
      </c>
    </row>
    <row r="335" spans="1:9" ht="14.25" customHeight="1" x14ac:dyDescent="0.45">
      <c r="A335" s="9">
        <v>43972</v>
      </c>
      <c r="B335" s="5" t="s">
        <v>22</v>
      </c>
      <c r="C335" s="5">
        <v>213640.5</v>
      </c>
      <c r="D335" s="5">
        <v>21042673.5</v>
      </c>
      <c r="E335" s="4" cm="1">
        <f t="array" ref="E335">_xlfn.XLOOKUP(A335&amp;B335,Лист2!A:A&amp;Лист2!B:B,Лист2!C:C,0,0)</f>
        <v>54</v>
      </c>
      <c r="F335" s="4" cm="1">
        <f t="array" ref="F335">_xlfn.XLOOKUP(A335&amp;B335,Лист2!A:A&amp;Лист2!B:B,Лист2!D:D,0,0)</f>
        <v>13240</v>
      </c>
      <c r="G335" s="4" cm="1">
        <f t="array" ref="G335">_xlfn.XLOOKUP(A335&amp;B335,Лист2!A:A&amp;Лист2!B:B,Лист2!E:E,0,0)</f>
        <v>12360</v>
      </c>
      <c r="H335" s="27">
        <f t="shared" si="10"/>
        <v>3956.3</v>
      </c>
      <c r="I335">
        <f t="shared" si="11"/>
        <v>21</v>
      </c>
    </row>
    <row r="336" spans="1:9" ht="14.25" customHeight="1" x14ac:dyDescent="0.45">
      <c r="A336" s="8">
        <v>43971</v>
      </c>
      <c r="B336" s="3" t="s">
        <v>22</v>
      </c>
      <c r="C336" s="3">
        <v>214885.5</v>
      </c>
      <c r="D336" s="3">
        <v>21411349.5</v>
      </c>
      <c r="E336" s="4" cm="1">
        <f t="array" ref="E336">_xlfn.XLOOKUP(A336&amp;B336,Лист2!A:A&amp;Лист2!B:B,Лист2!C:C,0,0)</f>
        <v>54</v>
      </c>
      <c r="F336" s="4" cm="1">
        <f t="array" ref="F336">_xlfn.XLOOKUP(A336&amp;B336,Лист2!A:A&amp;Лист2!B:B,Лист2!D:D,0,0)</f>
        <v>13298</v>
      </c>
      <c r="G336" s="4" cm="1">
        <f t="array" ref="G336">_xlfn.XLOOKUP(A336&amp;B336,Лист2!A:A&amp;Лист2!B:B,Лист2!E:E,0,0)</f>
        <v>12428</v>
      </c>
      <c r="H336" s="27">
        <f t="shared" si="10"/>
        <v>3979.4</v>
      </c>
      <c r="I336">
        <f t="shared" si="11"/>
        <v>21</v>
      </c>
    </row>
    <row r="337" spans="1:9" ht="14.25" customHeight="1" x14ac:dyDescent="0.45">
      <c r="A337" s="9">
        <v>43956</v>
      </c>
      <c r="B337" s="5" t="s">
        <v>22</v>
      </c>
      <c r="C337" s="5">
        <v>203832</v>
      </c>
      <c r="D337" s="5">
        <v>20880142.5</v>
      </c>
      <c r="E337" s="4" cm="1">
        <f t="array" ref="E337">_xlfn.XLOOKUP(A337&amp;B337,Лист2!A:A&amp;Лист2!B:B,Лист2!C:C,0,0)</f>
        <v>54</v>
      </c>
      <c r="F337" s="4" cm="1">
        <f t="array" ref="F337">_xlfn.XLOOKUP(A337&amp;B337,Лист2!A:A&amp;Лист2!B:B,Лист2!D:D,0,0)</f>
        <v>12775</v>
      </c>
      <c r="G337" s="4" cm="1">
        <f t="array" ref="G337">_xlfn.XLOOKUP(A337&amp;B337,Лист2!A:A&amp;Лист2!B:B,Лист2!E:E,0,0)</f>
        <v>11887</v>
      </c>
      <c r="H337" s="27">
        <f t="shared" si="10"/>
        <v>3774.7</v>
      </c>
      <c r="I337">
        <f t="shared" si="11"/>
        <v>19</v>
      </c>
    </row>
    <row r="338" spans="1:9" ht="14.25" customHeight="1" x14ac:dyDescent="0.45">
      <c r="A338" s="8">
        <v>43964</v>
      </c>
      <c r="B338" s="3" t="s">
        <v>22</v>
      </c>
      <c r="C338" s="3">
        <v>188662.5</v>
      </c>
      <c r="D338" s="3">
        <v>18784000.5</v>
      </c>
      <c r="E338" s="4" cm="1">
        <f t="array" ref="E338">_xlfn.XLOOKUP(A338&amp;B338,Лист2!A:A&amp;Лист2!B:B,Лист2!C:C,0,0)</f>
        <v>54</v>
      </c>
      <c r="F338" s="4" cm="1">
        <f t="array" ref="F338">_xlfn.XLOOKUP(A338&amp;B338,Лист2!A:A&amp;Лист2!B:B,Лист2!D:D,0,0)</f>
        <v>11522</v>
      </c>
      <c r="G338" s="4" cm="1">
        <f t="array" ref="G338">_xlfn.XLOOKUP(A338&amp;B338,Лист2!A:A&amp;Лист2!B:B,Лист2!E:E,0,0)</f>
        <v>10803</v>
      </c>
      <c r="H338" s="27">
        <f t="shared" si="10"/>
        <v>3493.8</v>
      </c>
      <c r="I338">
        <f t="shared" si="11"/>
        <v>20</v>
      </c>
    </row>
    <row r="339" spans="1:9" ht="14.25" customHeight="1" x14ac:dyDescent="0.45">
      <c r="A339" s="9">
        <v>43982</v>
      </c>
      <c r="B339" s="5" t="s">
        <v>21</v>
      </c>
      <c r="C339" s="5">
        <v>215277</v>
      </c>
      <c r="D339" s="5">
        <v>21585316.5</v>
      </c>
      <c r="E339" s="4" cm="1">
        <f t="array" ref="E339">_xlfn.XLOOKUP(A339&amp;B339,Лист2!A:A&amp;Лист2!B:B,Лист2!C:C,0,0)</f>
        <v>59</v>
      </c>
      <c r="F339" s="4" cm="1">
        <f t="array" ref="F339">_xlfn.XLOOKUP(A339&amp;B339,Лист2!A:A&amp;Лист2!B:B,Лист2!D:D,0,0)</f>
        <v>13684</v>
      </c>
      <c r="G339" s="4" cm="1">
        <f t="array" ref="G339">_xlfn.XLOOKUP(A339&amp;B339,Лист2!A:A&amp;Лист2!B:B,Лист2!E:E,0,0)</f>
        <v>12690</v>
      </c>
      <c r="H339" s="27">
        <f t="shared" si="10"/>
        <v>3648.8</v>
      </c>
      <c r="I339">
        <f t="shared" si="11"/>
        <v>22</v>
      </c>
    </row>
    <row r="340" spans="1:9" ht="14.25" customHeight="1" x14ac:dyDescent="0.45">
      <c r="A340" s="8">
        <v>43954</v>
      </c>
      <c r="B340" s="3" t="s">
        <v>22</v>
      </c>
      <c r="C340" s="3">
        <v>248148</v>
      </c>
      <c r="D340" s="3">
        <v>25519072.5</v>
      </c>
      <c r="E340" s="4" cm="1">
        <f t="array" ref="E340">_xlfn.XLOOKUP(A340&amp;B340,Лист2!A:A&amp;Лист2!B:B,Лист2!C:C,0,0)</f>
        <v>54</v>
      </c>
      <c r="F340" s="4" cm="1">
        <f t="array" ref="F340">_xlfn.XLOOKUP(A340&amp;B340,Лист2!A:A&amp;Лист2!B:B,Лист2!D:D,0,0)</f>
        <v>14823</v>
      </c>
      <c r="G340" s="4" cm="1">
        <f t="array" ref="G340">_xlfn.XLOOKUP(A340&amp;B340,Лист2!A:A&amp;Лист2!B:B,Лист2!E:E,0,0)</f>
        <v>13751</v>
      </c>
      <c r="H340" s="27">
        <f t="shared" si="10"/>
        <v>4595.3</v>
      </c>
      <c r="I340">
        <f t="shared" si="11"/>
        <v>18</v>
      </c>
    </row>
    <row r="341" spans="1:9" ht="14.25" customHeight="1" x14ac:dyDescent="0.45">
      <c r="A341" s="9">
        <v>43981</v>
      </c>
      <c r="B341" s="5" t="s">
        <v>21</v>
      </c>
      <c r="C341" s="5">
        <v>246414</v>
      </c>
      <c r="D341" s="5">
        <v>24527245.5</v>
      </c>
      <c r="E341" s="4" cm="1">
        <f t="array" ref="E341">_xlfn.XLOOKUP(A341&amp;B341,Лист2!A:A&amp;Лист2!B:B,Лист2!C:C,0,0)</f>
        <v>59</v>
      </c>
      <c r="F341" s="4" cm="1">
        <f t="array" ref="F341">_xlfn.XLOOKUP(A341&amp;B341,Лист2!A:A&amp;Лист2!B:B,Лист2!D:D,0,0)</f>
        <v>15030</v>
      </c>
      <c r="G341" s="4" cm="1">
        <f t="array" ref="G341">_xlfn.XLOOKUP(A341&amp;B341,Лист2!A:A&amp;Лист2!B:B,Лист2!E:E,0,0)</f>
        <v>13956</v>
      </c>
      <c r="H341" s="27">
        <f t="shared" si="10"/>
        <v>4176.5</v>
      </c>
      <c r="I341">
        <f t="shared" si="11"/>
        <v>22</v>
      </c>
    </row>
    <row r="342" spans="1:9" ht="14.25" customHeight="1" x14ac:dyDescent="0.45">
      <c r="A342" s="8">
        <v>43957</v>
      </c>
      <c r="B342" s="3" t="s">
        <v>22</v>
      </c>
      <c r="C342" s="3">
        <v>216498</v>
      </c>
      <c r="D342" s="3">
        <v>22126444.5</v>
      </c>
      <c r="E342" s="4" cm="1">
        <f t="array" ref="E342">_xlfn.XLOOKUP(A342&amp;B342,Лист2!A:A&amp;Лист2!B:B,Лист2!C:C,0,0)</f>
        <v>54</v>
      </c>
      <c r="F342" s="4" cm="1">
        <f t="array" ref="F342">_xlfn.XLOOKUP(A342&amp;B342,Лист2!A:A&amp;Лист2!B:B,Лист2!D:D,0,0)</f>
        <v>13406</v>
      </c>
      <c r="G342" s="4" cm="1">
        <f t="array" ref="G342">_xlfn.XLOOKUP(A342&amp;B342,Лист2!A:A&amp;Лист2!B:B,Лист2!E:E,0,0)</f>
        <v>12518</v>
      </c>
      <c r="H342" s="27">
        <f t="shared" si="10"/>
        <v>4009.2</v>
      </c>
      <c r="I342">
        <f t="shared" si="11"/>
        <v>19</v>
      </c>
    </row>
    <row r="343" spans="1:9" ht="14.25" customHeight="1" x14ac:dyDescent="0.45">
      <c r="A343" s="9">
        <v>43974</v>
      </c>
      <c r="B343" s="5" t="s">
        <v>22</v>
      </c>
      <c r="C343" s="5">
        <v>275793</v>
      </c>
      <c r="D343" s="5">
        <v>26806626</v>
      </c>
      <c r="E343" s="4" cm="1">
        <f t="array" ref="E343">_xlfn.XLOOKUP(A343&amp;B343,Лист2!A:A&amp;Лист2!B:B,Лист2!C:C,0,0)</f>
        <v>54</v>
      </c>
      <c r="F343" s="4" cm="1">
        <f t="array" ref="F343">_xlfn.XLOOKUP(A343&amp;B343,Лист2!A:A&amp;Лист2!B:B,Лист2!D:D,0,0)</f>
        <v>16221</v>
      </c>
      <c r="G343" s="4" cm="1">
        <f t="array" ref="G343">_xlfn.XLOOKUP(A343&amp;B343,Лист2!A:A&amp;Лист2!B:B,Лист2!E:E,0,0)</f>
        <v>15065</v>
      </c>
      <c r="H343" s="27">
        <f t="shared" si="10"/>
        <v>5107.3</v>
      </c>
      <c r="I343">
        <f t="shared" si="11"/>
        <v>21</v>
      </c>
    </row>
    <row r="344" spans="1:9" ht="14.25" customHeight="1" x14ac:dyDescent="0.45">
      <c r="A344" s="8">
        <v>43979</v>
      </c>
      <c r="B344" s="3" t="s">
        <v>21</v>
      </c>
      <c r="C344" s="3">
        <v>199753.5</v>
      </c>
      <c r="D344" s="3">
        <v>20535733.5</v>
      </c>
      <c r="E344" s="4" cm="1">
        <f t="array" ref="E344">_xlfn.XLOOKUP(A344&amp;B344,Лист2!A:A&amp;Лист2!B:B,Лист2!C:C,0,0)</f>
        <v>60</v>
      </c>
      <c r="F344" s="4" cm="1">
        <f t="array" ref="F344">_xlfn.XLOOKUP(A344&amp;B344,Лист2!A:A&amp;Лист2!B:B,Лист2!D:D,0,0)</f>
        <v>12854</v>
      </c>
      <c r="G344" s="4" cm="1">
        <f t="array" ref="G344">_xlfn.XLOOKUP(A344&amp;B344,Лист2!A:A&amp;Лист2!B:B,Лист2!E:E,0,0)</f>
        <v>11954</v>
      </c>
      <c r="H344" s="27">
        <f t="shared" si="10"/>
        <v>3329.2</v>
      </c>
      <c r="I344">
        <f t="shared" si="11"/>
        <v>22</v>
      </c>
    </row>
    <row r="345" spans="1:9" ht="14.25" customHeight="1" x14ac:dyDescent="0.45">
      <c r="A345" s="9">
        <v>43976</v>
      </c>
      <c r="B345" s="5" t="s">
        <v>22</v>
      </c>
      <c r="C345" s="5">
        <v>192948</v>
      </c>
      <c r="D345" s="5">
        <v>19806927</v>
      </c>
      <c r="E345" s="4" cm="1">
        <f t="array" ref="E345">_xlfn.XLOOKUP(A345&amp;B345,Лист2!A:A&amp;Лист2!B:B,Лист2!C:C,0,0)</f>
        <v>54</v>
      </c>
      <c r="F345" s="4" cm="1">
        <f t="array" ref="F345">_xlfn.XLOOKUP(A345&amp;B345,Лист2!A:A&amp;Лист2!B:B,Лист2!D:D,0,0)</f>
        <v>12336</v>
      </c>
      <c r="G345" s="4" cm="1">
        <f t="array" ref="G345">_xlfn.XLOOKUP(A345&amp;B345,Лист2!A:A&amp;Лист2!B:B,Лист2!E:E,0,0)</f>
        <v>11519</v>
      </c>
      <c r="H345" s="27">
        <f t="shared" si="10"/>
        <v>3573.1</v>
      </c>
      <c r="I345">
        <f t="shared" si="11"/>
        <v>22</v>
      </c>
    </row>
    <row r="346" spans="1:9" ht="14.25" customHeight="1" x14ac:dyDescent="0.45">
      <c r="A346" s="8">
        <v>43951</v>
      </c>
      <c r="B346" s="3" t="s">
        <v>22</v>
      </c>
      <c r="C346" s="3">
        <v>206038.5</v>
      </c>
      <c r="D346" s="3">
        <v>21740460</v>
      </c>
      <c r="E346" s="4" cm="1">
        <f t="array" ref="E346">_xlfn.XLOOKUP(A346&amp;B346,Лист2!A:A&amp;Лист2!B:B,Лист2!C:C,0,0)</f>
        <v>54</v>
      </c>
      <c r="F346" s="4" cm="1">
        <f t="array" ref="F346">_xlfn.XLOOKUP(A346&amp;B346,Лист2!A:A&amp;Лист2!B:B,Лист2!D:D,0,0)</f>
        <v>12817</v>
      </c>
      <c r="G346" s="4" cm="1">
        <f t="array" ref="G346">_xlfn.XLOOKUP(A346&amp;B346,Лист2!A:A&amp;Лист2!B:B,Лист2!E:E,0,0)</f>
        <v>11865</v>
      </c>
      <c r="H346" s="27">
        <f t="shared" si="10"/>
        <v>3815.5</v>
      </c>
      <c r="I346">
        <f t="shared" si="11"/>
        <v>18</v>
      </c>
    </row>
    <row r="347" spans="1:9" ht="14.25" customHeight="1" x14ac:dyDescent="0.45">
      <c r="A347" s="9">
        <v>43961</v>
      </c>
      <c r="B347" s="5" t="s">
        <v>22</v>
      </c>
      <c r="C347" s="5">
        <v>231559.5</v>
      </c>
      <c r="D347" s="5">
        <v>23443725</v>
      </c>
      <c r="E347" s="4" cm="1">
        <f t="array" ref="E347">_xlfn.XLOOKUP(A347&amp;B347,Лист2!A:A&amp;Лист2!B:B,Лист2!C:C,0,0)</f>
        <v>54</v>
      </c>
      <c r="F347" s="4" cm="1">
        <f t="array" ref="F347">_xlfn.XLOOKUP(A347&amp;B347,Лист2!A:A&amp;Лист2!B:B,Лист2!D:D,0,0)</f>
        <v>13832</v>
      </c>
      <c r="G347" s="4" cm="1">
        <f t="array" ref="G347">_xlfn.XLOOKUP(A347&amp;B347,Лист2!A:A&amp;Лист2!B:B,Лист2!E:E,0,0)</f>
        <v>12864</v>
      </c>
      <c r="H347" s="27">
        <f t="shared" si="10"/>
        <v>4288.1000000000004</v>
      </c>
      <c r="I347">
        <f t="shared" si="11"/>
        <v>19</v>
      </c>
    </row>
    <row r="348" spans="1:9" ht="14.25" customHeight="1" x14ac:dyDescent="0.45">
      <c r="A348" s="8">
        <v>43959</v>
      </c>
      <c r="B348" s="3" t="s">
        <v>22</v>
      </c>
      <c r="C348" s="3">
        <v>225076.5</v>
      </c>
      <c r="D348" s="3">
        <v>22846078.5</v>
      </c>
      <c r="E348" s="4" cm="1">
        <f t="array" ref="E348">_xlfn.XLOOKUP(A348&amp;B348,Лист2!A:A&amp;Лист2!B:B,Лист2!C:C,0,0)</f>
        <v>54</v>
      </c>
      <c r="F348" s="4" cm="1">
        <f t="array" ref="F348">_xlfn.XLOOKUP(A348&amp;B348,Лист2!A:A&amp;Лист2!B:B,Лист2!D:D,0,0)</f>
        <v>13563</v>
      </c>
      <c r="G348" s="4" cm="1">
        <f t="array" ref="G348">_xlfn.XLOOKUP(A348&amp;B348,Лист2!A:A&amp;Лист2!B:B,Лист2!E:E,0,0)</f>
        <v>12604</v>
      </c>
      <c r="H348" s="27">
        <f t="shared" si="10"/>
        <v>4168.1000000000004</v>
      </c>
      <c r="I348">
        <f t="shared" si="11"/>
        <v>19</v>
      </c>
    </row>
    <row r="349" spans="1:9" ht="14.25" customHeight="1" x14ac:dyDescent="0.45">
      <c r="A349" s="9">
        <v>43958</v>
      </c>
      <c r="B349" s="5" t="s">
        <v>22</v>
      </c>
      <c r="C349" s="5">
        <v>209415</v>
      </c>
      <c r="D349" s="5">
        <v>21463023</v>
      </c>
      <c r="E349" s="4" cm="1">
        <f t="array" ref="E349">_xlfn.XLOOKUP(A349&amp;B349,Лист2!A:A&amp;Лист2!B:B,Лист2!C:C,0,0)</f>
        <v>54</v>
      </c>
      <c r="F349" s="4" cm="1">
        <f t="array" ref="F349">_xlfn.XLOOKUP(A349&amp;B349,Лист2!A:A&amp;Лист2!B:B,Лист2!D:D,0,0)</f>
        <v>12743</v>
      </c>
      <c r="G349" s="4" cm="1">
        <f t="array" ref="G349">_xlfn.XLOOKUP(A349&amp;B349,Лист2!A:A&amp;Лист2!B:B,Лист2!E:E,0,0)</f>
        <v>11858</v>
      </c>
      <c r="H349" s="27">
        <f t="shared" si="10"/>
        <v>3878.1</v>
      </c>
      <c r="I349">
        <f t="shared" si="11"/>
        <v>19</v>
      </c>
    </row>
    <row r="350" spans="1:9" ht="14.25" customHeight="1" x14ac:dyDescent="0.45">
      <c r="A350" s="8">
        <v>43975</v>
      </c>
      <c r="B350" s="3" t="s">
        <v>22</v>
      </c>
      <c r="C350" s="3">
        <v>193719</v>
      </c>
      <c r="D350" s="3">
        <v>19071117</v>
      </c>
      <c r="E350" s="4" cm="1">
        <f t="array" ref="E350">_xlfn.XLOOKUP(A350&amp;B350,Лист2!A:A&amp;Лист2!B:B,Лист2!C:C,0,0)</f>
        <v>54</v>
      </c>
      <c r="F350" s="4" cm="1">
        <f t="array" ref="F350">_xlfn.XLOOKUP(A350&amp;B350,Лист2!A:A&amp;Лист2!B:B,Лист2!D:D,0,0)</f>
        <v>12211</v>
      </c>
      <c r="G350" s="4" cm="1">
        <f t="array" ref="G350">_xlfn.XLOOKUP(A350&amp;B350,Лист2!A:A&amp;Лист2!B:B,Лист2!E:E,0,0)</f>
        <v>11427</v>
      </c>
      <c r="H350" s="27">
        <f t="shared" si="10"/>
        <v>3587.4</v>
      </c>
      <c r="I350">
        <f t="shared" si="11"/>
        <v>21</v>
      </c>
    </row>
    <row r="351" spans="1:9" ht="14.25" customHeight="1" x14ac:dyDescent="0.45">
      <c r="A351" s="9">
        <v>43950</v>
      </c>
      <c r="B351" s="5" t="s">
        <v>23</v>
      </c>
      <c r="C351" s="5">
        <v>12250.5</v>
      </c>
      <c r="D351" s="5">
        <v>981519</v>
      </c>
      <c r="E351" s="4" cm="1">
        <f t="array" ref="E351">_xlfn.XLOOKUP(A351&amp;B351,Лист2!A:A&amp;Лист2!B:B,Лист2!C:C,0,0)</f>
        <v>15</v>
      </c>
      <c r="F351" s="4" cm="1">
        <f t="array" ref="F351">_xlfn.XLOOKUP(A351&amp;B351,Лист2!A:A&amp;Лист2!B:B,Лист2!D:D,0,0)</f>
        <v>659</v>
      </c>
      <c r="G351" s="4" cm="1">
        <f t="array" ref="G351">_xlfn.XLOOKUP(A351&amp;B351,Лист2!A:A&amp;Лист2!B:B,Лист2!E:E,0,0)</f>
        <v>575</v>
      </c>
      <c r="H351" s="27">
        <f t="shared" si="10"/>
        <v>816.7</v>
      </c>
      <c r="I351">
        <f t="shared" si="11"/>
        <v>18</v>
      </c>
    </row>
    <row r="352" spans="1:9" ht="14.25" customHeight="1" x14ac:dyDescent="0.45">
      <c r="A352" s="8">
        <v>43949</v>
      </c>
      <c r="B352" s="3" t="s">
        <v>23</v>
      </c>
      <c r="C352" s="3">
        <v>12541.5</v>
      </c>
      <c r="D352" s="3">
        <v>992541</v>
      </c>
      <c r="E352" s="4" cm="1">
        <f t="array" ref="E352">_xlfn.XLOOKUP(A352&amp;B352,Лист2!A:A&amp;Лист2!B:B,Лист2!C:C,0,0)</f>
        <v>15</v>
      </c>
      <c r="F352" s="4" cm="1">
        <f t="array" ref="F352">_xlfn.XLOOKUP(A352&amp;B352,Лист2!A:A&amp;Лист2!B:B,Лист2!D:D,0,0)</f>
        <v>636</v>
      </c>
      <c r="G352" s="4" cm="1">
        <f t="array" ref="G352">_xlfn.XLOOKUP(A352&amp;B352,Лист2!A:A&amp;Лист2!B:B,Лист2!E:E,0,0)</f>
        <v>547</v>
      </c>
      <c r="H352" s="27">
        <f t="shared" si="10"/>
        <v>836.1</v>
      </c>
      <c r="I352">
        <f t="shared" si="11"/>
        <v>18</v>
      </c>
    </row>
    <row r="353" spans="1:9" ht="14.25" customHeight="1" x14ac:dyDescent="0.45">
      <c r="A353" s="9">
        <v>43982</v>
      </c>
      <c r="B353" s="5" t="s">
        <v>22</v>
      </c>
      <c r="C353" s="5">
        <v>206758.5</v>
      </c>
      <c r="D353" s="5">
        <v>20717248.5</v>
      </c>
      <c r="E353" s="4" cm="1">
        <f t="array" ref="E353">_xlfn.XLOOKUP(A353&amp;B353,Лист2!A:A&amp;Лист2!B:B,Лист2!C:C,0,0)</f>
        <v>54</v>
      </c>
      <c r="F353" s="4" cm="1">
        <f t="array" ref="F353">_xlfn.XLOOKUP(A353&amp;B353,Лист2!A:A&amp;Лист2!B:B,Лист2!D:D,0,0)</f>
        <v>13106</v>
      </c>
      <c r="G353" s="4" cm="1">
        <f t="array" ref="G353">_xlfn.XLOOKUP(A353&amp;B353,Лист2!A:A&amp;Лист2!B:B,Лист2!E:E,0,0)</f>
        <v>12164</v>
      </c>
      <c r="H353" s="27">
        <f t="shared" si="10"/>
        <v>3828.9</v>
      </c>
      <c r="I353">
        <f t="shared" si="11"/>
        <v>22</v>
      </c>
    </row>
    <row r="354" spans="1:9" ht="14.25" customHeight="1" x14ac:dyDescent="0.45">
      <c r="A354" s="8">
        <v>43981</v>
      </c>
      <c r="B354" s="3" t="s">
        <v>22</v>
      </c>
      <c r="C354" s="3">
        <v>244734</v>
      </c>
      <c r="D354" s="3">
        <v>24151980</v>
      </c>
      <c r="E354" s="4" cm="1">
        <f t="array" ref="E354">_xlfn.XLOOKUP(A354&amp;B354,Лист2!A:A&amp;Лист2!B:B,Лист2!C:C,0,0)</f>
        <v>54</v>
      </c>
      <c r="F354" s="4" cm="1">
        <f t="array" ref="F354">_xlfn.XLOOKUP(A354&amp;B354,Лист2!A:A&amp;Лист2!B:B,Лист2!D:D,0,0)</f>
        <v>14590</v>
      </c>
      <c r="G354" s="4" cm="1">
        <f t="array" ref="G354">_xlfn.XLOOKUP(A354&amp;B354,Лист2!A:A&amp;Лист2!B:B,Лист2!E:E,0,0)</f>
        <v>13551</v>
      </c>
      <c r="H354" s="27">
        <f t="shared" si="10"/>
        <v>4532.1000000000004</v>
      </c>
      <c r="I354">
        <f t="shared" si="11"/>
        <v>22</v>
      </c>
    </row>
    <row r="355" spans="1:9" ht="14.25" customHeight="1" x14ac:dyDescent="0.45">
      <c r="A355" s="9">
        <v>43979</v>
      </c>
      <c r="B355" s="5" t="s">
        <v>22</v>
      </c>
      <c r="C355" s="5">
        <v>191641.5</v>
      </c>
      <c r="D355" s="5">
        <v>19549036.5</v>
      </c>
      <c r="E355" s="4" cm="1">
        <f t="array" ref="E355">_xlfn.XLOOKUP(A355&amp;B355,Лист2!A:A&amp;Лист2!B:B,Лист2!C:C,0,0)</f>
        <v>54</v>
      </c>
      <c r="F355" s="4" cm="1">
        <f t="array" ref="F355">_xlfn.XLOOKUP(A355&amp;B355,Лист2!A:A&amp;Лист2!B:B,Лист2!D:D,0,0)</f>
        <v>12409</v>
      </c>
      <c r="G355" s="4" cm="1">
        <f t="array" ref="G355">_xlfn.XLOOKUP(A355&amp;B355,Лист2!A:A&amp;Лист2!B:B,Лист2!E:E,0,0)</f>
        <v>11582</v>
      </c>
      <c r="H355" s="27">
        <f t="shared" si="10"/>
        <v>3548.9</v>
      </c>
      <c r="I355">
        <f t="shared" si="11"/>
        <v>22</v>
      </c>
    </row>
    <row r="356" spans="1:9" ht="14.25" customHeight="1" x14ac:dyDescent="0.45">
      <c r="A356" s="8">
        <v>43967</v>
      </c>
      <c r="B356" s="3" t="s">
        <v>23</v>
      </c>
      <c r="C356" s="3">
        <v>16368</v>
      </c>
      <c r="D356" s="3">
        <v>1316350.5</v>
      </c>
      <c r="E356" s="4" cm="1">
        <f t="array" ref="E356">_xlfn.XLOOKUP(A356&amp;B356,Лист2!A:A&amp;Лист2!B:B,Лист2!C:C,0,0)</f>
        <v>16</v>
      </c>
      <c r="F356" s="4" cm="1">
        <f t="array" ref="F356">_xlfn.XLOOKUP(A356&amp;B356,Лист2!A:A&amp;Лист2!B:B,Лист2!D:D,0,0)</f>
        <v>920</v>
      </c>
      <c r="G356" s="4" cm="1">
        <f t="array" ref="G356">_xlfn.XLOOKUP(A356&amp;B356,Лист2!A:A&amp;Лист2!B:B,Лист2!E:E,0,0)</f>
        <v>818</v>
      </c>
      <c r="H356" s="27">
        <f t="shared" si="10"/>
        <v>1023</v>
      </c>
      <c r="I356">
        <f t="shared" si="11"/>
        <v>20</v>
      </c>
    </row>
    <row r="357" spans="1:9" ht="14.25" customHeight="1" x14ac:dyDescent="0.45">
      <c r="A357" s="9">
        <v>43970</v>
      </c>
      <c r="B357" s="5" t="s">
        <v>23</v>
      </c>
      <c r="C357" s="5">
        <v>14427</v>
      </c>
      <c r="D357" s="5">
        <v>1126810.5</v>
      </c>
      <c r="E357" s="4" cm="1">
        <f t="array" ref="E357">_xlfn.XLOOKUP(A357&amp;B357,Лист2!A:A&amp;Лист2!B:B,Лист2!C:C,0,0)</f>
        <v>17</v>
      </c>
      <c r="F357" s="4" cm="1">
        <f t="array" ref="F357">_xlfn.XLOOKUP(A357&amp;B357,Лист2!A:A&amp;Лист2!B:B,Лист2!D:D,0,0)</f>
        <v>857</v>
      </c>
      <c r="G357" s="4" cm="1">
        <f t="array" ref="G357">_xlfn.XLOOKUP(A357&amp;B357,Лист2!A:A&amp;Лист2!B:B,Лист2!E:E,0,0)</f>
        <v>757</v>
      </c>
      <c r="H357" s="27">
        <f t="shared" si="10"/>
        <v>848.6</v>
      </c>
      <c r="I357">
        <f t="shared" si="11"/>
        <v>21</v>
      </c>
    </row>
    <row r="358" spans="1:9" ht="14.25" customHeight="1" x14ac:dyDescent="0.45">
      <c r="A358" s="8">
        <v>43968</v>
      </c>
      <c r="B358" s="3" t="s">
        <v>23</v>
      </c>
      <c r="C358" s="3">
        <v>13440</v>
      </c>
      <c r="D358" s="3">
        <v>1157529</v>
      </c>
      <c r="E358" s="4" cm="1">
        <f t="array" ref="E358">_xlfn.XLOOKUP(A358&amp;B358,Лист2!A:A&amp;Лист2!B:B,Лист2!C:C,0,0)</f>
        <v>16</v>
      </c>
      <c r="F358" s="4" cm="1">
        <f t="array" ref="F358">_xlfn.XLOOKUP(A358&amp;B358,Лист2!A:A&amp;Лист2!B:B,Лист2!D:D,0,0)</f>
        <v>859</v>
      </c>
      <c r="G358" s="4" cm="1">
        <f t="array" ref="G358">_xlfn.XLOOKUP(A358&amp;B358,Лист2!A:A&amp;Лист2!B:B,Лист2!E:E,0,0)</f>
        <v>746</v>
      </c>
      <c r="H358" s="27">
        <f t="shared" si="10"/>
        <v>840</v>
      </c>
      <c r="I358">
        <f t="shared" si="11"/>
        <v>20</v>
      </c>
    </row>
    <row r="359" spans="1:9" ht="14.25" customHeight="1" x14ac:dyDescent="0.45">
      <c r="A359" s="9">
        <v>43960</v>
      </c>
      <c r="B359" s="5" t="s">
        <v>23</v>
      </c>
      <c r="C359" s="5">
        <v>11745</v>
      </c>
      <c r="D359" s="5">
        <v>955801.5</v>
      </c>
      <c r="E359" s="4" cm="1">
        <f t="array" ref="E359">_xlfn.XLOOKUP(A359&amp;B359,Лист2!A:A&amp;Лист2!B:B,Лист2!C:C,0,0)</f>
        <v>15</v>
      </c>
      <c r="F359" s="4" cm="1">
        <f t="array" ref="F359">_xlfn.XLOOKUP(A359&amp;B359,Лист2!A:A&amp;Лист2!B:B,Лист2!D:D,0,0)</f>
        <v>654</v>
      </c>
      <c r="G359" s="4" cm="1">
        <f t="array" ref="G359">_xlfn.XLOOKUP(A359&amp;B359,Лист2!A:A&amp;Лист2!B:B,Лист2!E:E,0,0)</f>
        <v>570</v>
      </c>
      <c r="H359" s="27">
        <f t="shared" si="10"/>
        <v>783</v>
      </c>
      <c r="I359">
        <f t="shared" si="11"/>
        <v>19</v>
      </c>
    </row>
    <row r="360" spans="1:9" ht="14.25" customHeight="1" x14ac:dyDescent="0.45">
      <c r="A360" s="8">
        <v>43955</v>
      </c>
      <c r="B360" s="3" t="s">
        <v>23</v>
      </c>
      <c r="C360" s="3">
        <v>11062.5</v>
      </c>
      <c r="D360" s="3">
        <v>906343.5</v>
      </c>
      <c r="E360" s="4" cm="1">
        <f t="array" ref="E360">_xlfn.XLOOKUP(A360&amp;B360,Лист2!A:A&amp;Лист2!B:B,Лист2!C:C,0,0)</f>
        <v>15</v>
      </c>
      <c r="F360" s="4" cm="1">
        <f t="array" ref="F360">_xlfn.XLOOKUP(A360&amp;B360,Лист2!A:A&amp;Лист2!B:B,Лист2!D:D,0,0)</f>
        <v>622</v>
      </c>
      <c r="G360" s="4" cm="1">
        <f t="array" ref="G360">_xlfn.XLOOKUP(A360&amp;B360,Лист2!A:A&amp;Лист2!B:B,Лист2!E:E,0,0)</f>
        <v>538</v>
      </c>
      <c r="H360" s="27">
        <f t="shared" si="10"/>
        <v>737.5</v>
      </c>
      <c r="I360">
        <f t="shared" si="11"/>
        <v>19</v>
      </c>
    </row>
    <row r="361" spans="1:9" ht="14.25" customHeight="1" x14ac:dyDescent="0.45">
      <c r="A361" s="9">
        <v>43953</v>
      </c>
      <c r="B361" s="5" t="s">
        <v>23</v>
      </c>
      <c r="C361" s="5">
        <v>10018.5</v>
      </c>
      <c r="D361" s="5">
        <v>816859.5</v>
      </c>
      <c r="E361" s="4" cm="1">
        <f t="array" ref="E361">_xlfn.XLOOKUP(A361&amp;B361,Лист2!A:A&amp;Лист2!B:B,Лист2!C:C,0,0)</f>
        <v>15</v>
      </c>
      <c r="F361" s="4" cm="1">
        <f t="array" ref="F361">_xlfn.XLOOKUP(A361&amp;B361,Лист2!A:A&amp;Лист2!B:B,Лист2!D:D,0,0)</f>
        <v>567</v>
      </c>
      <c r="G361" s="4" cm="1">
        <f t="array" ref="G361">_xlfn.XLOOKUP(A361&amp;B361,Лист2!A:A&amp;Лист2!B:B,Лист2!E:E,0,0)</f>
        <v>493</v>
      </c>
      <c r="H361" s="27">
        <f t="shared" si="10"/>
        <v>667.9</v>
      </c>
      <c r="I361">
        <f t="shared" si="11"/>
        <v>18</v>
      </c>
    </row>
    <row r="362" spans="1:9" ht="14.25" customHeight="1" x14ac:dyDescent="0.45">
      <c r="A362" s="8">
        <v>43977</v>
      </c>
      <c r="B362" s="3" t="s">
        <v>24</v>
      </c>
      <c r="C362" s="3">
        <v>10437</v>
      </c>
      <c r="D362" s="3">
        <v>833815.5</v>
      </c>
      <c r="E362" s="4" cm="1">
        <f t="array" ref="E362">_xlfn.XLOOKUP(A362&amp;B362,Лист2!A:A&amp;Лист2!B:B,Лист2!C:C,0,0)</f>
        <v>7</v>
      </c>
      <c r="F362" s="4" cm="1">
        <f t="array" ref="F362">_xlfn.XLOOKUP(A362&amp;B362,Лист2!A:A&amp;Лист2!B:B,Лист2!D:D,0,0)</f>
        <v>577</v>
      </c>
      <c r="G362" s="4" cm="1">
        <f t="array" ref="G362">_xlfn.XLOOKUP(A362&amp;B362,Лист2!A:A&amp;Лист2!B:B,Лист2!E:E,0,0)</f>
        <v>389</v>
      </c>
      <c r="H362" s="27">
        <f t="shared" si="10"/>
        <v>1491</v>
      </c>
      <c r="I362">
        <f t="shared" si="11"/>
        <v>22</v>
      </c>
    </row>
    <row r="363" spans="1:9" ht="14.25" customHeight="1" x14ac:dyDescent="0.45">
      <c r="A363" s="9">
        <v>43952</v>
      </c>
      <c r="B363" s="5" t="s">
        <v>23</v>
      </c>
      <c r="C363" s="5">
        <v>13644</v>
      </c>
      <c r="D363" s="5">
        <v>1134444</v>
      </c>
      <c r="E363" s="4" cm="1">
        <f t="array" ref="E363">_xlfn.XLOOKUP(A363&amp;B363,Лист2!A:A&amp;Лист2!B:B,Лист2!C:C,0,0)</f>
        <v>15</v>
      </c>
      <c r="F363" s="4" cm="1">
        <f t="array" ref="F363">_xlfn.XLOOKUP(A363&amp;B363,Лист2!A:A&amp;Лист2!B:B,Лист2!D:D,0,0)</f>
        <v>721</v>
      </c>
      <c r="G363" s="4" cm="1">
        <f t="array" ref="G363">_xlfn.XLOOKUP(A363&amp;B363,Лист2!A:A&amp;Лист2!B:B,Лист2!E:E,0,0)</f>
        <v>625</v>
      </c>
      <c r="H363" s="27">
        <f t="shared" si="10"/>
        <v>909.6</v>
      </c>
      <c r="I363">
        <f t="shared" si="11"/>
        <v>18</v>
      </c>
    </row>
    <row r="364" spans="1:9" ht="14.25" customHeight="1" x14ac:dyDescent="0.45">
      <c r="A364" s="8">
        <v>43963</v>
      </c>
      <c r="B364" s="3" t="s">
        <v>23</v>
      </c>
      <c r="C364" s="3">
        <v>13443</v>
      </c>
      <c r="D364" s="3">
        <v>1092277.5</v>
      </c>
      <c r="E364" s="4" cm="1">
        <f t="array" ref="E364">_xlfn.XLOOKUP(A364&amp;B364,Лист2!A:A&amp;Лист2!B:B,Лист2!C:C,0,0)</f>
        <v>15</v>
      </c>
      <c r="F364" s="4" cm="1">
        <f t="array" ref="F364">_xlfn.XLOOKUP(A364&amp;B364,Лист2!A:A&amp;Лист2!B:B,Лист2!D:D,0,0)</f>
        <v>750</v>
      </c>
      <c r="G364" s="4" cm="1">
        <f t="array" ref="G364">_xlfn.XLOOKUP(A364&amp;B364,Лист2!A:A&amp;Лист2!B:B,Лист2!E:E,0,0)</f>
        <v>659</v>
      </c>
      <c r="H364" s="27">
        <f t="shared" si="10"/>
        <v>896.2</v>
      </c>
      <c r="I364">
        <f t="shared" si="11"/>
        <v>20</v>
      </c>
    </row>
    <row r="365" spans="1:9" ht="14.25" customHeight="1" x14ac:dyDescent="0.45">
      <c r="A365" s="9">
        <v>43972</v>
      </c>
      <c r="B365" s="5" t="s">
        <v>23</v>
      </c>
      <c r="C365" s="5">
        <v>14182.5</v>
      </c>
      <c r="D365" s="5">
        <v>1172574</v>
      </c>
      <c r="E365" s="4" cm="1">
        <f t="array" ref="E365">_xlfn.XLOOKUP(A365&amp;B365,Лист2!A:A&amp;Лист2!B:B,Лист2!C:C,0,0)</f>
        <v>18</v>
      </c>
      <c r="F365" s="4" cm="1">
        <f t="array" ref="F365">_xlfn.XLOOKUP(A365&amp;B365,Лист2!A:A&amp;Лист2!B:B,Лист2!D:D,0,0)</f>
        <v>888</v>
      </c>
      <c r="G365" s="4" cm="1">
        <f t="array" ref="G365">_xlfn.XLOOKUP(A365&amp;B365,Лист2!A:A&amp;Лист2!B:B,Лист2!E:E,0,0)</f>
        <v>786</v>
      </c>
      <c r="H365" s="27">
        <f t="shared" si="10"/>
        <v>787.9</v>
      </c>
      <c r="I365">
        <f t="shared" si="11"/>
        <v>21</v>
      </c>
    </row>
    <row r="366" spans="1:9" ht="14.25" customHeight="1" x14ac:dyDescent="0.45">
      <c r="A366" s="8">
        <v>43971</v>
      </c>
      <c r="B366" s="3" t="s">
        <v>23</v>
      </c>
      <c r="C366" s="3">
        <v>14928</v>
      </c>
      <c r="D366" s="3">
        <v>1217749.5</v>
      </c>
      <c r="E366" s="4" cm="1">
        <f t="array" ref="E366">_xlfn.XLOOKUP(A366&amp;B366,Лист2!A:A&amp;Лист2!B:B,Лист2!C:C,0,0)</f>
        <v>17</v>
      </c>
      <c r="F366" s="4" cm="1">
        <f t="array" ref="F366">_xlfn.XLOOKUP(A366&amp;B366,Лист2!A:A&amp;Лист2!B:B,Лист2!D:D,0,0)</f>
        <v>890</v>
      </c>
      <c r="G366" s="4" cm="1">
        <f t="array" ref="G366">_xlfn.XLOOKUP(A366&amp;B366,Лист2!A:A&amp;Лист2!B:B,Лист2!E:E,0,0)</f>
        <v>794</v>
      </c>
      <c r="H366" s="27">
        <f t="shared" si="10"/>
        <v>878.1</v>
      </c>
      <c r="I366">
        <f t="shared" si="11"/>
        <v>21</v>
      </c>
    </row>
    <row r="367" spans="1:9" ht="14.25" customHeight="1" x14ac:dyDescent="0.45">
      <c r="A367" s="9">
        <v>43956</v>
      </c>
      <c r="B367" s="5" t="s">
        <v>23</v>
      </c>
      <c r="C367" s="5">
        <v>13941</v>
      </c>
      <c r="D367" s="5">
        <v>1145575.5</v>
      </c>
      <c r="E367" s="4" cm="1">
        <f t="array" ref="E367">_xlfn.XLOOKUP(A367&amp;B367,Лист2!A:A&amp;Лист2!B:B,Лист2!C:C,0,0)</f>
        <v>15</v>
      </c>
      <c r="F367" s="4" cm="1">
        <f t="array" ref="F367">_xlfn.XLOOKUP(A367&amp;B367,Лист2!A:A&amp;Лист2!B:B,Лист2!D:D,0,0)</f>
        <v>750</v>
      </c>
      <c r="G367" s="4" cm="1">
        <f t="array" ref="G367">_xlfn.XLOOKUP(A367&amp;B367,Лист2!A:A&amp;Лист2!B:B,Лист2!E:E,0,0)</f>
        <v>658</v>
      </c>
      <c r="H367" s="27">
        <f t="shared" si="10"/>
        <v>929.4</v>
      </c>
      <c r="I367">
        <f t="shared" si="11"/>
        <v>19</v>
      </c>
    </row>
    <row r="368" spans="1:9" ht="14.25" customHeight="1" x14ac:dyDescent="0.45">
      <c r="A368" s="8">
        <v>43964</v>
      </c>
      <c r="B368" s="3" t="s">
        <v>23</v>
      </c>
      <c r="C368" s="3">
        <v>14643</v>
      </c>
      <c r="D368" s="3">
        <v>1172691</v>
      </c>
      <c r="E368" s="4" cm="1">
        <f t="array" ref="E368">_xlfn.XLOOKUP(A368&amp;B368,Лист2!A:A&amp;Лист2!B:B,Лист2!C:C,0,0)</f>
        <v>15</v>
      </c>
      <c r="F368" s="4" cm="1">
        <f t="array" ref="F368">_xlfn.XLOOKUP(A368&amp;B368,Лист2!A:A&amp;Лист2!B:B,Лист2!D:D,0,0)</f>
        <v>854</v>
      </c>
      <c r="G368" s="4" cm="1">
        <f t="array" ref="G368">_xlfn.XLOOKUP(A368&amp;B368,Лист2!A:A&amp;Лист2!B:B,Лист2!E:E,0,0)</f>
        <v>756</v>
      </c>
      <c r="H368" s="27">
        <f t="shared" si="10"/>
        <v>976.2</v>
      </c>
      <c r="I368">
        <f t="shared" si="11"/>
        <v>20</v>
      </c>
    </row>
    <row r="369" spans="1:9" ht="14.25" customHeight="1" x14ac:dyDescent="0.45">
      <c r="A369" s="9">
        <v>43954</v>
      </c>
      <c r="B369" s="5" t="s">
        <v>23</v>
      </c>
      <c r="C369" s="5">
        <v>10032</v>
      </c>
      <c r="D369" s="5">
        <v>816150</v>
      </c>
      <c r="E369" s="4" cm="1">
        <f t="array" ref="E369">_xlfn.XLOOKUP(A369&amp;B369,Лист2!A:A&amp;Лист2!B:B,Лист2!C:C,0,0)</f>
        <v>15</v>
      </c>
      <c r="F369" s="4" cm="1">
        <f t="array" ref="F369">_xlfn.XLOOKUP(A369&amp;B369,Лист2!A:A&amp;Лист2!B:B,Лист2!D:D,0,0)</f>
        <v>585</v>
      </c>
      <c r="G369" s="4" cm="1">
        <f t="array" ref="G369">_xlfn.XLOOKUP(A369&amp;B369,Лист2!A:A&amp;Лист2!B:B,Лист2!E:E,0,0)</f>
        <v>502</v>
      </c>
      <c r="H369" s="27">
        <f t="shared" si="10"/>
        <v>668.8</v>
      </c>
      <c r="I369">
        <f t="shared" si="11"/>
        <v>18</v>
      </c>
    </row>
    <row r="370" spans="1:9" ht="14.25" customHeight="1" x14ac:dyDescent="0.45">
      <c r="A370" s="8">
        <v>43957</v>
      </c>
      <c r="B370" s="3" t="s">
        <v>23</v>
      </c>
      <c r="C370" s="3">
        <v>12468</v>
      </c>
      <c r="D370" s="3">
        <v>1016566.5</v>
      </c>
      <c r="E370" s="4" cm="1">
        <f t="array" ref="E370">_xlfn.XLOOKUP(A370&amp;B370,Лист2!A:A&amp;Лист2!B:B,Лист2!C:C,0,0)</f>
        <v>15</v>
      </c>
      <c r="F370" s="4" cm="1">
        <f t="array" ref="F370">_xlfn.XLOOKUP(A370&amp;B370,Лист2!A:A&amp;Лист2!B:B,Лист2!D:D,0,0)</f>
        <v>701</v>
      </c>
      <c r="G370" s="4" cm="1">
        <f t="array" ref="G370">_xlfn.XLOOKUP(A370&amp;B370,Лист2!A:A&amp;Лист2!B:B,Лист2!E:E,0,0)</f>
        <v>611</v>
      </c>
      <c r="H370" s="27">
        <f t="shared" si="10"/>
        <v>831.2</v>
      </c>
      <c r="I370">
        <f t="shared" si="11"/>
        <v>19</v>
      </c>
    </row>
    <row r="371" spans="1:9" ht="14.25" customHeight="1" x14ac:dyDescent="0.45">
      <c r="A371" s="9">
        <v>43974</v>
      </c>
      <c r="B371" s="5" t="s">
        <v>23</v>
      </c>
      <c r="C371" s="5">
        <v>17943</v>
      </c>
      <c r="D371" s="5">
        <v>1457391</v>
      </c>
      <c r="E371" s="4" cm="1">
        <f t="array" ref="E371">_xlfn.XLOOKUP(A371&amp;B371,Лист2!A:A&amp;Лист2!B:B,Лист2!C:C,0,0)</f>
        <v>18</v>
      </c>
      <c r="F371" s="4" cm="1">
        <f t="array" ref="F371">_xlfn.XLOOKUP(A371&amp;B371,Лист2!A:A&amp;Лист2!B:B,Лист2!D:D,0,0)</f>
        <v>1031</v>
      </c>
      <c r="G371" s="4" cm="1">
        <f t="array" ref="G371">_xlfn.XLOOKUP(A371&amp;B371,Лист2!A:A&amp;Лист2!B:B,Лист2!E:E,0,0)</f>
        <v>918</v>
      </c>
      <c r="H371" s="27">
        <f t="shared" si="10"/>
        <v>996.8</v>
      </c>
      <c r="I371">
        <f t="shared" si="11"/>
        <v>21</v>
      </c>
    </row>
    <row r="372" spans="1:9" ht="14.25" customHeight="1" x14ac:dyDescent="0.45">
      <c r="A372" s="8">
        <v>43976</v>
      </c>
      <c r="B372" s="3" t="s">
        <v>23</v>
      </c>
      <c r="C372" s="3">
        <v>15807</v>
      </c>
      <c r="D372" s="3">
        <v>1326705</v>
      </c>
      <c r="E372" s="4" cm="1">
        <f t="array" ref="E372">_xlfn.XLOOKUP(A372&amp;B372,Лист2!A:A&amp;Лист2!B:B,Лист2!C:C,0,0)</f>
        <v>18</v>
      </c>
      <c r="F372" s="4" cm="1">
        <f t="array" ref="F372">_xlfn.XLOOKUP(A372&amp;B372,Лист2!A:A&amp;Лист2!B:B,Лист2!D:D,0,0)</f>
        <v>989</v>
      </c>
      <c r="G372" s="4" cm="1">
        <f t="array" ref="G372">_xlfn.XLOOKUP(A372&amp;B372,Лист2!A:A&amp;Лист2!B:B,Лист2!E:E,0,0)</f>
        <v>887</v>
      </c>
      <c r="H372" s="27">
        <f t="shared" si="10"/>
        <v>878.2</v>
      </c>
      <c r="I372">
        <f t="shared" si="11"/>
        <v>22</v>
      </c>
    </row>
    <row r="373" spans="1:9" ht="14.25" customHeight="1" x14ac:dyDescent="0.45">
      <c r="A373" s="9">
        <v>43951</v>
      </c>
      <c r="B373" s="5" t="s">
        <v>23</v>
      </c>
      <c r="C373" s="5">
        <v>11976</v>
      </c>
      <c r="D373" s="5">
        <v>1004511</v>
      </c>
      <c r="E373" s="4" cm="1">
        <f t="array" ref="E373">_xlfn.XLOOKUP(A373&amp;B373,Лист2!A:A&amp;Лист2!B:B,Лист2!C:C,0,0)</f>
        <v>15</v>
      </c>
      <c r="F373" s="4" cm="1">
        <f t="array" ref="F373">_xlfn.XLOOKUP(A373&amp;B373,Лист2!A:A&amp;Лист2!B:B,Лист2!D:D,0,0)</f>
        <v>644</v>
      </c>
      <c r="G373" s="4" cm="1">
        <f t="array" ref="G373">_xlfn.XLOOKUP(A373&amp;B373,Лист2!A:A&amp;Лист2!B:B,Лист2!E:E,0,0)</f>
        <v>550</v>
      </c>
      <c r="H373" s="27">
        <f t="shared" si="10"/>
        <v>798.4</v>
      </c>
      <c r="I373">
        <f t="shared" si="11"/>
        <v>18</v>
      </c>
    </row>
    <row r="374" spans="1:9" ht="14.25" customHeight="1" x14ac:dyDescent="0.45">
      <c r="A374" s="8">
        <v>43961</v>
      </c>
      <c r="B374" s="3" t="s">
        <v>23</v>
      </c>
      <c r="C374" s="3">
        <v>14566.5</v>
      </c>
      <c r="D374" s="3">
        <v>1216557</v>
      </c>
      <c r="E374" s="4" cm="1">
        <f t="array" ref="E374">_xlfn.XLOOKUP(A374&amp;B374,Лист2!A:A&amp;Лист2!B:B,Лист2!C:C,0,0)</f>
        <v>15</v>
      </c>
      <c r="F374" s="4" cm="1">
        <f t="array" ref="F374">_xlfn.XLOOKUP(A374&amp;B374,Лист2!A:A&amp;Лист2!B:B,Лист2!D:D,0,0)</f>
        <v>792</v>
      </c>
      <c r="G374" s="4" cm="1">
        <f t="array" ref="G374">_xlfn.XLOOKUP(A374&amp;B374,Лист2!A:A&amp;Лист2!B:B,Лист2!E:E,0,0)</f>
        <v>695</v>
      </c>
      <c r="H374" s="27">
        <f t="shared" si="10"/>
        <v>971.1</v>
      </c>
      <c r="I374">
        <f t="shared" si="11"/>
        <v>19</v>
      </c>
    </row>
    <row r="375" spans="1:9" ht="14.25" customHeight="1" x14ac:dyDescent="0.45">
      <c r="A375" s="9">
        <v>43959</v>
      </c>
      <c r="B375" s="5" t="s">
        <v>23</v>
      </c>
      <c r="C375" s="5">
        <v>12976.5</v>
      </c>
      <c r="D375" s="5">
        <v>1046848.5</v>
      </c>
      <c r="E375" s="4" cm="1">
        <f t="array" ref="E375">_xlfn.XLOOKUP(A375&amp;B375,Лист2!A:A&amp;Лист2!B:B,Лист2!C:C,0,0)</f>
        <v>15</v>
      </c>
      <c r="F375" s="4" cm="1">
        <f t="array" ref="F375">_xlfn.XLOOKUP(A375&amp;B375,Лист2!A:A&amp;Лист2!B:B,Лист2!D:D,0,0)</f>
        <v>703</v>
      </c>
      <c r="G375" s="4" cm="1">
        <f t="array" ref="G375">_xlfn.XLOOKUP(A375&amp;B375,Лист2!A:A&amp;Лист2!B:B,Лист2!E:E,0,0)</f>
        <v>609</v>
      </c>
      <c r="H375" s="27">
        <f t="shared" si="10"/>
        <v>865.1</v>
      </c>
      <c r="I375">
        <f t="shared" si="11"/>
        <v>19</v>
      </c>
    </row>
    <row r="376" spans="1:9" ht="14.25" customHeight="1" x14ac:dyDescent="0.45">
      <c r="A376" s="8">
        <v>43958</v>
      </c>
      <c r="B376" s="3" t="s">
        <v>23</v>
      </c>
      <c r="C376" s="3">
        <v>11719.5</v>
      </c>
      <c r="D376" s="3">
        <v>965880</v>
      </c>
      <c r="E376" s="4" cm="1">
        <f t="array" ref="E376">_xlfn.XLOOKUP(A376&amp;B376,Лист2!A:A&amp;Лист2!B:B,Лист2!C:C,0,0)</f>
        <v>15</v>
      </c>
      <c r="F376" s="4" cm="1">
        <f t="array" ref="F376">_xlfn.XLOOKUP(A376&amp;B376,Лист2!A:A&amp;Лист2!B:B,Лист2!D:D,0,0)</f>
        <v>676</v>
      </c>
      <c r="G376" s="4" cm="1">
        <f t="array" ref="G376">_xlfn.XLOOKUP(A376&amp;B376,Лист2!A:A&amp;Лист2!B:B,Лист2!E:E,0,0)</f>
        <v>591</v>
      </c>
      <c r="H376" s="27">
        <f t="shared" si="10"/>
        <v>781.3</v>
      </c>
      <c r="I376">
        <f t="shared" si="11"/>
        <v>19</v>
      </c>
    </row>
    <row r="377" spans="1:9" ht="14.25" customHeight="1" x14ac:dyDescent="0.45">
      <c r="A377" s="9">
        <v>43975</v>
      </c>
      <c r="B377" s="5" t="s">
        <v>23</v>
      </c>
      <c r="C377" s="5">
        <v>17197.5</v>
      </c>
      <c r="D377" s="5">
        <v>1386262.5</v>
      </c>
      <c r="E377" s="4" cm="1">
        <f t="array" ref="E377">_xlfn.XLOOKUP(A377&amp;B377,Лист2!A:A&amp;Лист2!B:B,Лист2!C:C,0,0)</f>
        <v>18</v>
      </c>
      <c r="F377" s="4" cm="1">
        <f t="array" ref="F377">_xlfn.XLOOKUP(A377&amp;B377,Лист2!A:A&amp;Лист2!B:B,Лист2!D:D,0,0)</f>
        <v>1006</v>
      </c>
      <c r="G377" s="4" cm="1">
        <f t="array" ref="G377">_xlfn.XLOOKUP(A377&amp;B377,Лист2!A:A&amp;Лист2!B:B,Лист2!E:E,0,0)</f>
        <v>904</v>
      </c>
      <c r="H377" s="27">
        <f t="shared" si="10"/>
        <v>955.4</v>
      </c>
      <c r="I377">
        <f t="shared" si="11"/>
        <v>21</v>
      </c>
    </row>
    <row r="378" spans="1:9" ht="14.25" customHeight="1" x14ac:dyDescent="0.45">
      <c r="A378" s="8">
        <v>43977</v>
      </c>
      <c r="B378" s="3" t="s">
        <v>23</v>
      </c>
      <c r="C378" s="3">
        <v>14419.5</v>
      </c>
      <c r="D378" s="3">
        <v>1210456.5</v>
      </c>
      <c r="E378" s="4" cm="1">
        <f t="array" ref="E378">_xlfn.XLOOKUP(A378&amp;B378,Лист2!A:A&amp;Лист2!B:B,Лист2!C:C,0,0)</f>
        <v>18</v>
      </c>
      <c r="F378" s="4" cm="1">
        <f t="array" ref="F378">_xlfn.XLOOKUP(A378&amp;B378,Лист2!A:A&amp;Лист2!B:B,Лист2!D:D,0,0)</f>
        <v>914</v>
      </c>
      <c r="G378" s="4" cm="1">
        <f t="array" ref="G378">_xlfn.XLOOKUP(A378&amp;B378,Лист2!A:A&amp;Лист2!B:B,Лист2!E:E,0,0)</f>
        <v>804</v>
      </c>
      <c r="H378" s="27">
        <f t="shared" si="10"/>
        <v>801.1</v>
      </c>
      <c r="I378">
        <f t="shared" si="11"/>
        <v>22</v>
      </c>
    </row>
    <row r="379" spans="1:9" ht="14.25" customHeight="1" x14ac:dyDescent="0.45">
      <c r="A379" s="9">
        <v>43983</v>
      </c>
      <c r="B379" s="5" t="s">
        <v>9</v>
      </c>
      <c r="C379" s="5">
        <v>7816.5</v>
      </c>
      <c r="D379" s="5">
        <v>636345</v>
      </c>
      <c r="E379" s="4" cm="1">
        <f t="array" ref="E379">_xlfn.XLOOKUP(A379&amp;B379,Лист2!A:A&amp;Лист2!B:B,Лист2!C:C,0,0)</f>
        <v>15</v>
      </c>
      <c r="F379" s="4" cm="1">
        <f t="array" ref="F379">_xlfn.XLOOKUP(A379&amp;B379,Лист2!A:A&amp;Лист2!B:B,Лист2!D:D,0,0)</f>
        <v>453</v>
      </c>
      <c r="G379" s="4" cm="1">
        <f t="array" ref="G379">_xlfn.XLOOKUP(A379&amp;B379,Лист2!A:A&amp;Лист2!B:B,Лист2!E:E,0,0)</f>
        <v>370</v>
      </c>
      <c r="H379" s="27">
        <f t="shared" si="10"/>
        <v>521.1</v>
      </c>
      <c r="I379">
        <f t="shared" si="11"/>
        <v>23</v>
      </c>
    </row>
    <row r="380" spans="1:9" ht="14.25" customHeight="1" x14ac:dyDescent="0.45">
      <c r="A380" s="8">
        <v>43982</v>
      </c>
      <c r="B380" s="3" t="s">
        <v>25</v>
      </c>
      <c r="C380" s="3">
        <v>6409.5</v>
      </c>
      <c r="D380" s="3">
        <v>493893</v>
      </c>
      <c r="E380" s="4" cm="1">
        <f t="array" ref="E380">_xlfn.XLOOKUP(A380&amp;B380,Лист2!A:A&amp;Лист2!B:B,Лист2!C:C,0,0)</f>
        <v>9</v>
      </c>
      <c r="F380" s="4" cm="1">
        <f t="array" ref="F380">_xlfn.XLOOKUP(A380&amp;B380,Лист2!A:A&amp;Лист2!B:B,Лист2!D:D,0,0)</f>
        <v>345</v>
      </c>
      <c r="G380" s="4" cm="1">
        <f t="array" ref="G380">_xlfn.XLOOKUP(A380&amp;B380,Лист2!A:A&amp;Лист2!B:B,Лист2!E:E,0,0)</f>
        <v>255</v>
      </c>
      <c r="H380" s="27">
        <f t="shared" si="10"/>
        <v>712.2</v>
      </c>
      <c r="I380">
        <f t="shared" si="11"/>
        <v>22</v>
      </c>
    </row>
    <row r="381" spans="1:9" ht="14.25" customHeight="1" x14ac:dyDescent="0.45">
      <c r="A381" s="9">
        <v>43981</v>
      </c>
      <c r="B381" s="5" t="s">
        <v>24</v>
      </c>
      <c r="C381" s="5">
        <v>11220</v>
      </c>
      <c r="D381" s="5">
        <v>928675.5</v>
      </c>
      <c r="E381" s="4" cm="1">
        <f t="array" ref="E381">_xlfn.XLOOKUP(A381&amp;B381,Лист2!A:A&amp;Лист2!B:B,Лист2!C:C,0,0)</f>
        <v>7</v>
      </c>
      <c r="F381" s="4" cm="1">
        <f t="array" ref="F381">_xlfn.XLOOKUP(A381&amp;B381,Лист2!A:A&amp;Лист2!B:B,Лист2!D:D,0,0)</f>
        <v>532</v>
      </c>
      <c r="G381" s="4" cm="1">
        <f t="array" ref="G381">_xlfn.XLOOKUP(A381&amp;B381,Лист2!A:A&amp;Лист2!B:B,Лист2!E:E,0,0)</f>
        <v>449</v>
      </c>
      <c r="H381" s="27">
        <f t="shared" si="10"/>
        <v>1602.9</v>
      </c>
      <c r="I381">
        <f t="shared" si="11"/>
        <v>22</v>
      </c>
    </row>
    <row r="382" spans="1:9" ht="14.25" customHeight="1" x14ac:dyDescent="0.45">
      <c r="A382" s="8">
        <v>43980</v>
      </c>
      <c r="B382" s="3" t="s">
        <v>9</v>
      </c>
      <c r="C382" s="3">
        <v>8350.5</v>
      </c>
      <c r="D382" s="3">
        <v>651237</v>
      </c>
      <c r="E382" s="4" cm="1">
        <f t="array" ref="E382">_xlfn.XLOOKUP(A382&amp;B382,Лист2!A:A&amp;Лист2!B:B,Лист2!C:C,0,0)</f>
        <v>15</v>
      </c>
      <c r="F382" s="4" cm="1">
        <f t="array" ref="F382">_xlfn.XLOOKUP(A382&amp;B382,Лист2!A:A&amp;Лист2!B:B,Лист2!D:D,0,0)</f>
        <v>400</v>
      </c>
      <c r="G382" s="4" cm="1">
        <f t="array" ref="G382">_xlfn.XLOOKUP(A382&amp;B382,Лист2!A:A&amp;Лист2!B:B,Лист2!E:E,0,0)</f>
        <v>329</v>
      </c>
      <c r="H382" s="27">
        <f t="shared" si="10"/>
        <v>556.70000000000005</v>
      </c>
      <c r="I382">
        <f t="shared" si="11"/>
        <v>22</v>
      </c>
    </row>
    <row r="383" spans="1:9" ht="14.25" customHeight="1" x14ac:dyDescent="0.45">
      <c r="A383" s="9">
        <v>43979</v>
      </c>
      <c r="B383" s="5" t="s">
        <v>24</v>
      </c>
      <c r="C383" s="5">
        <v>8428.5</v>
      </c>
      <c r="D383" s="5">
        <v>694669.5</v>
      </c>
      <c r="E383" s="4" cm="1">
        <f t="array" ref="E383">_xlfn.XLOOKUP(A383&amp;B383,Лист2!A:A&amp;Лист2!B:B,Лист2!C:C,0,0)</f>
        <v>7</v>
      </c>
      <c r="F383" s="4" cm="1">
        <f t="array" ref="F383">_xlfn.XLOOKUP(A383&amp;B383,Лист2!A:A&amp;Лист2!B:B,Лист2!D:D,0,0)</f>
        <v>420</v>
      </c>
      <c r="G383" s="4" cm="1">
        <f t="array" ref="G383">_xlfn.XLOOKUP(A383&amp;B383,Лист2!A:A&amp;Лист2!B:B,Лист2!E:E,0,0)</f>
        <v>347</v>
      </c>
      <c r="H383" s="27">
        <f t="shared" si="10"/>
        <v>1204.0999999999999</v>
      </c>
      <c r="I383">
        <f t="shared" si="11"/>
        <v>22</v>
      </c>
    </row>
    <row r="384" spans="1:9" ht="14.25" customHeight="1" x14ac:dyDescent="0.45">
      <c r="A384" s="8">
        <v>43978</v>
      </c>
      <c r="B384" s="3" t="s">
        <v>10</v>
      </c>
      <c r="C384" s="3">
        <v>32817</v>
      </c>
      <c r="D384" s="3">
        <v>3015751.5</v>
      </c>
      <c r="E384" s="4" cm="1">
        <f t="array" ref="E384">_xlfn.XLOOKUP(A384&amp;B384,Лист2!A:A&amp;Лист2!B:B,Лист2!C:C,0,0)</f>
        <v>20</v>
      </c>
      <c r="F384" s="4" cm="1">
        <f t="array" ref="F384">_xlfn.XLOOKUP(A384&amp;B384,Лист2!A:A&amp;Лист2!B:B,Лист2!D:D,0,0)</f>
        <v>2079</v>
      </c>
      <c r="G384" s="4" cm="1">
        <f t="array" ref="G384">_xlfn.XLOOKUP(A384&amp;B384,Лист2!A:A&amp;Лист2!B:B,Лист2!E:E,0,0)</f>
        <v>1893</v>
      </c>
      <c r="H384" s="27">
        <f t="shared" si="10"/>
        <v>1640.9</v>
      </c>
      <c r="I384">
        <f t="shared" si="11"/>
        <v>22</v>
      </c>
    </row>
    <row r="385" spans="1:9" ht="14.25" customHeight="1" x14ac:dyDescent="0.45">
      <c r="A385" s="9">
        <v>43973</v>
      </c>
      <c r="B385" s="5" t="s">
        <v>10</v>
      </c>
      <c r="C385" s="5">
        <v>36031.5</v>
      </c>
      <c r="D385" s="5">
        <v>3091069.5</v>
      </c>
      <c r="E385" s="4" cm="1">
        <f t="array" ref="E385">_xlfn.XLOOKUP(A385&amp;B385,Лист2!A:A&amp;Лист2!B:B,Лист2!C:C,0,0)</f>
        <v>21</v>
      </c>
      <c r="F385" s="4" cm="1">
        <f t="array" ref="F385">_xlfn.XLOOKUP(A385&amp;B385,Лист2!A:A&amp;Лист2!B:B,Лист2!D:D,0,0)</f>
        <v>2046</v>
      </c>
      <c r="G385" s="4" cm="1">
        <f t="array" ref="G385">_xlfn.XLOOKUP(A385&amp;B385,Лист2!A:A&amp;Лист2!B:B,Лист2!E:E,0,0)</f>
        <v>1853</v>
      </c>
      <c r="H385" s="27">
        <f t="shared" si="10"/>
        <v>1715.8</v>
      </c>
      <c r="I385">
        <f t="shared" si="11"/>
        <v>21</v>
      </c>
    </row>
    <row r="386" spans="1:9" ht="14.25" customHeight="1" x14ac:dyDescent="0.45">
      <c r="A386" s="8">
        <v>43982</v>
      </c>
      <c r="B386" s="3" t="s">
        <v>26</v>
      </c>
      <c r="C386" s="3">
        <v>5127</v>
      </c>
      <c r="D386" s="3">
        <v>468835.5</v>
      </c>
      <c r="E386" s="4" cm="1">
        <f t="array" ref="E386">_xlfn.XLOOKUP(A386&amp;B386,Лист2!A:A&amp;Лист2!B:B,Лист2!C:C,0,0)</f>
        <v>6</v>
      </c>
      <c r="F386" s="4" cm="1">
        <f t="array" ref="F386">_xlfn.XLOOKUP(A386&amp;B386,Лист2!A:A&amp;Лист2!B:B,Лист2!D:D,0,0)</f>
        <v>261</v>
      </c>
      <c r="G386" s="4" cm="1">
        <f t="array" ref="G386">_xlfn.XLOOKUP(A386&amp;B386,Лист2!A:A&amp;Лист2!B:B,Лист2!E:E,0,0)</f>
        <v>188</v>
      </c>
      <c r="H386" s="27">
        <f t="shared" si="10"/>
        <v>854.5</v>
      </c>
      <c r="I386">
        <f t="shared" si="11"/>
        <v>22</v>
      </c>
    </row>
    <row r="387" spans="1:9" ht="14.25" customHeight="1" x14ac:dyDescent="0.45">
      <c r="A387" s="9">
        <v>43962</v>
      </c>
      <c r="B387" s="5" t="s">
        <v>10</v>
      </c>
      <c r="C387" s="5">
        <v>27187.5</v>
      </c>
      <c r="D387" s="5">
        <v>2479396.5</v>
      </c>
      <c r="E387" s="4" cm="1">
        <f t="array" ref="E387">_xlfn.XLOOKUP(A387&amp;B387,Лист2!A:A&amp;Лист2!B:B,Лист2!C:C,0,0)</f>
        <v>21</v>
      </c>
      <c r="F387" s="4" cm="1">
        <f t="array" ref="F387">_xlfn.XLOOKUP(A387&amp;B387,Лист2!A:A&amp;Лист2!B:B,Лист2!D:D,0,0)</f>
        <v>1597</v>
      </c>
      <c r="G387" s="4" cm="1">
        <f t="array" ref="G387">_xlfn.XLOOKUP(A387&amp;B387,Лист2!A:A&amp;Лист2!B:B,Лист2!E:E,0,0)</f>
        <v>1457</v>
      </c>
      <c r="H387" s="27">
        <f t="shared" ref="H387:H450" si="12">ROUND(C387/E387, 1)</f>
        <v>1294.5999999999999</v>
      </c>
      <c r="I387">
        <f t="shared" ref="I387:I450" si="13">WEEKNUM(A387,2)</f>
        <v>20</v>
      </c>
    </row>
    <row r="388" spans="1:9" ht="14.25" customHeight="1" x14ac:dyDescent="0.45">
      <c r="A388" s="8">
        <v>43981</v>
      </c>
      <c r="B388" s="3" t="s">
        <v>23</v>
      </c>
      <c r="C388" s="3">
        <v>20688</v>
      </c>
      <c r="D388" s="3">
        <v>1773154.5</v>
      </c>
      <c r="E388" s="4" cm="1">
        <f t="array" ref="E388">_xlfn.XLOOKUP(A388&amp;B388,Лист2!A:A&amp;Лист2!B:B,Лист2!C:C,0,0)</f>
        <v>18</v>
      </c>
      <c r="F388" s="4" cm="1">
        <f t="array" ref="F388">_xlfn.XLOOKUP(A388&amp;B388,Лист2!A:A&amp;Лист2!B:B,Лист2!D:D,0,0)</f>
        <v>1216</v>
      </c>
      <c r="G388" s="4" cm="1">
        <f t="array" ref="G388">_xlfn.XLOOKUP(A388&amp;B388,Лист2!A:A&amp;Лист2!B:B,Лист2!E:E,0,0)</f>
        <v>1101</v>
      </c>
      <c r="H388" s="27">
        <f t="shared" si="12"/>
        <v>1149.3</v>
      </c>
      <c r="I388">
        <f t="shared" si="13"/>
        <v>22</v>
      </c>
    </row>
    <row r="389" spans="1:9" ht="14.25" customHeight="1" x14ac:dyDescent="0.45">
      <c r="A389" s="9">
        <v>43979</v>
      </c>
      <c r="B389" s="5" t="s">
        <v>23</v>
      </c>
      <c r="C389" s="5">
        <v>15678</v>
      </c>
      <c r="D389" s="5">
        <v>1387443</v>
      </c>
      <c r="E389" s="4" cm="1">
        <f t="array" ref="E389">_xlfn.XLOOKUP(A389&amp;B389,Лист2!A:A&amp;Лист2!B:B,Лист2!C:C,0,0)</f>
        <v>18</v>
      </c>
      <c r="F389" s="4" cm="1">
        <f t="array" ref="F389">_xlfn.XLOOKUP(A389&amp;B389,Лист2!A:A&amp;Лист2!B:B,Лист2!D:D,0,0)</f>
        <v>1020</v>
      </c>
      <c r="G389" s="4" cm="1">
        <f t="array" ref="G389">_xlfn.XLOOKUP(A389&amp;B389,Лист2!A:A&amp;Лист2!B:B,Лист2!E:E,0,0)</f>
        <v>911</v>
      </c>
      <c r="H389" s="27">
        <f t="shared" si="12"/>
        <v>871</v>
      </c>
      <c r="I389">
        <f t="shared" si="13"/>
        <v>22</v>
      </c>
    </row>
    <row r="390" spans="1:9" ht="14.25" customHeight="1" x14ac:dyDescent="0.45">
      <c r="A390" s="8">
        <v>43969</v>
      </c>
      <c r="B390" s="3" t="s">
        <v>10</v>
      </c>
      <c r="C390" s="3">
        <v>31329</v>
      </c>
      <c r="D390" s="3">
        <v>2826379.5</v>
      </c>
      <c r="E390" s="4" cm="1">
        <f t="array" ref="E390">_xlfn.XLOOKUP(A390&amp;B390,Лист2!A:A&amp;Лист2!B:B,Лист2!C:C,0,0)</f>
        <v>21</v>
      </c>
      <c r="F390" s="4" cm="1">
        <f t="array" ref="F390">_xlfn.XLOOKUP(A390&amp;B390,Лист2!A:A&amp;Лист2!B:B,Лист2!D:D,0,0)</f>
        <v>1834</v>
      </c>
      <c r="G390" s="4" cm="1">
        <f t="array" ref="G390">_xlfn.XLOOKUP(A390&amp;B390,Лист2!A:A&amp;Лист2!B:B,Лист2!E:E,0,0)</f>
        <v>1660</v>
      </c>
      <c r="H390" s="27">
        <f t="shared" si="12"/>
        <v>1491.9</v>
      </c>
      <c r="I390">
        <f t="shared" si="13"/>
        <v>21</v>
      </c>
    </row>
    <row r="391" spans="1:9" ht="14.25" customHeight="1" x14ac:dyDescent="0.45">
      <c r="A391" s="9">
        <v>43965</v>
      </c>
      <c r="B391" s="5" t="s">
        <v>10</v>
      </c>
      <c r="C391" s="5">
        <v>29658</v>
      </c>
      <c r="D391" s="5">
        <v>2703132</v>
      </c>
      <c r="E391" s="4" cm="1">
        <f t="array" ref="E391">_xlfn.XLOOKUP(A391&amp;B391,Лист2!A:A&amp;Лист2!B:B,Лист2!C:C,0,0)</f>
        <v>21</v>
      </c>
      <c r="F391" s="4" cm="1">
        <f t="array" ref="F391">_xlfn.XLOOKUP(A391&amp;B391,Лист2!A:A&amp;Лист2!B:B,Лист2!D:D,0,0)</f>
        <v>1706</v>
      </c>
      <c r="G391" s="4" cm="1">
        <f t="array" ref="G391">_xlfn.XLOOKUP(A391&amp;B391,Лист2!A:A&amp;Лист2!B:B,Лист2!E:E,0,0)</f>
        <v>1548</v>
      </c>
      <c r="H391" s="27">
        <f t="shared" si="12"/>
        <v>1412.3</v>
      </c>
      <c r="I391">
        <f t="shared" si="13"/>
        <v>20</v>
      </c>
    </row>
    <row r="392" spans="1:9" ht="14.25" customHeight="1" x14ac:dyDescent="0.45">
      <c r="A392" s="8">
        <v>43966</v>
      </c>
      <c r="B392" s="3" t="s">
        <v>10</v>
      </c>
      <c r="C392" s="3">
        <v>34150.5</v>
      </c>
      <c r="D392" s="3">
        <v>3038293.5</v>
      </c>
      <c r="E392" s="4" cm="1">
        <f t="array" ref="E392">_xlfn.XLOOKUP(A392&amp;B392,Лист2!A:A&amp;Лист2!B:B,Лист2!C:C,0,0)</f>
        <v>21</v>
      </c>
      <c r="F392" s="4" cm="1">
        <f t="array" ref="F392">_xlfn.XLOOKUP(A392&amp;B392,Лист2!A:A&amp;Лист2!B:B,Лист2!D:D,0,0)</f>
        <v>1926</v>
      </c>
      <c r="G392" s="4" cm="1">
        <f t="array" ref="G392">_xlfn.XLOOKUP(A392&amp;B392,Лист2!A:A&amp;Лист2!B:B,Лист2!E:E,0,0)</f>
        <v>1742</v>
      </c>
      <c r="H392" s="27">
        <f t="shared" si="12"/>
        <v>1626.2</v>
      </c>
      <c r="I392">
        <f t="shared" si="13"/>
        <v>20</v>
      </c>
    </row>
    <row r="393" spans="1:9" ht="14.25" customHeight="1" x14ac:dyDescent="0.45">
      <c r="A393" s="9">
        <v>43983</v>
      </c>
      <c r="B393" s="5" t="s">
        <v>10</v>
      </c>
      <c r="C393" s="5">
        <v>31947</v>
      </c>
      <c r="D393" s="5">
        <v>2945035.5</v>
      </c>
      <c r="E393" s="4" cm="1">
        <f t="array" ref="E393">_xlfn.XLOOKUP(A393&amp;B393,Лист2!A:A&amp;Лист2!B:B,Лист2!C:C,0,0)</f>
        <v>21</v>
      </c>
      <c r="F393" s="4" cm="1">
        <f t="array" ref="F393">_xlfn.XLOOKUP(A393&amp;B393,Лист2!A:A&amp;Лист2!B:B,Лист2!D:D,0,0)</f>
        <v>2025</v>
      </c>
      <c r="G393" s="4" cm="1">
        <f t="array" ref="G393">_xlfn.XLOOKUP(A393&amp;B393,Лист2!A:A&amp;Лист2!B:B,Лист2!E:E,0,0)</f>
        <v>1849</v>
      </c>
      <c r="H393" s="27">
        <f t="shared" si="12"/>
        <v>1521.3</v>
      </c>
      <c r="I393">
        <f t="shared" si="13"/>
        <v>23</v>
      </c>
    </row>
    <row r="394" spans="1:9" ht="14.25" customHeight="1" x14ac:dyDescent="0.45">
      <c r="A394" s="8">
        <v>43982</v>
      </c>
      <c r="B394" s="3" t="s">
        <v>24</v>
      </c>
      <c r="C394" s="3">
        <v>10416</v>
      </c>
      <c r="D394" s="3">
        <v>866023.5</v>
      </c>
      <c r="E394" s="4" cm="1">
        <f t="array" ref="E394">_xlfn.XLOOKUP(A394&amp;B394,Лист2!A:A&amp;Лист2!B:B,Лист2!C:C,0,0)</f>
        <v>7</v>
      </c>
      <c r="F394" s="4" cm="1">
        <f t="array" ref="F394">_xlfn.XLOOKUP(A394&amp;B394,Лист2!A:A&amp;Лист2!B:B,Лист2!D:D,0,0)</f>
        <v>530</v>
      </c>
      <c r="G394" s="4" cm="1">
        <f t="array" ref="G394">_xlfn.XLOOKUP(A394&amp;B394,Лист2!A:A&amp;Лист2!B:B,Лист2!E:E,0,0)</f>
        <v>447</v>
      </c>
      <c r="H394" s="27">
        <f t="shared" si="12"/>
        <v>1488</v>
      </c>
      <c r="I394">
        <f t="shared" si="13"/>
        <v>22</v>
      </c>
    </row>
    <row r="395" spans="1:9" ht="14.25" customHeight="1" x14ac:dyDescent="0.45">
      <c r="A395" s="9">
        <v>43980</v>
      </c>
      <c r="B395" s="5" t="s">
        <v>10</v>
      </c>
      <c r="C395" s="5">
        <v>35431.5</v>
      </c>
      <c r="D395" s="5">
        <v>3193167</v>
      </c>
      <c r="E395" s="4" cm="1">
        <f t="array" ref="E395">_xlfn.XLOOKUP(A395&amp;B395,Лист2!A:A&amp;Лист2!B:B,Лист2!C:C,0,0)</f>
        <v>20</v>
      </c>
      <c r="F395" s="4" cm="1">
        <f t="array" ref="F395">_xlfn.XLOOKUP(A395&amp;B395,Лист2!A:A&amp;Лист2!B:B,Лист2!D:D,0,0)</f>
        <v>2111</v>
      </c>
      <c r="G395" s="4" cm="1">
        <f t="array" ref="G395">_xlfn.XLOOKUP(A395&amp;B395,Лист2!A:A&amp;Лист2!B:B,Лист2!E:E,0,0)</f>
        <v>1917</v>
      </c>
      <c r="H395" s="27">
        <f t="shared" si="12"/>
        <v>1771.6</v>
      </c>
      <c r="I395">
        <f t="shared" si="13"/>
        <v>22</v>
      </c>
    </row>
    <row r="396" spans="1:9" ht="14.25" customHeight="1" x14ac:dyDescent="0.45">
      <c r="A396" s="8">
        <v>43978</v>
      </c>
      <c r="B396" s="3" t="s">
        <v>11</v>
      </c>
      <c r="C396" s="3">
        <v>78544.5</v>
      </c>
      <c r="D396" s="3">
        <v>6701083.5</v>
      </c>
      <c r="E396" s="4" cm="1">
        <f t="array" ref="E396">_xlfn.XLOOKUP(A396&amp;B396,Лист2!A:A&amp;Лист2!B:B,Лист2!C:C,0,0)</f>
        <v>31</v>
      </c>
      <c r="F396" s="4" cm="1">
        <f t="array" ref="F396">_xlfn.XLOOKUP(A396&amp;B396,Лист2!A:A&amp;Лист2!B:B,Лист2!D:D,0,0)</f>
        <v>5330</v>
      </c>
      <c r="G396" s="4" cm="1">
        <f t="array" ref="G396">_xlfn.XLOOKUP(A396&amp;B396,Лист2!A:A&amp;Лист2!B:B,Лист2!E:E,0,0)</f>
        <v>4977</v>
      </c>
      <c r="H396" s="27">
        <f t="shared" si="12"/>
        <v>2533.6999999999998</v>
      </c>
      <c r="I396">
        <f t="shared" si="13"/>
        <v>22</v>
      </c>
    </row>
    <row r="397" spans="1:9" ht="14.25" customHeight="1" x14ac:dyDescent="0.45">
      <c r="A397" s="9">
        <v>43973</v>
      </c>
      <c r="B397" s="5" t="s">
        <v>11</v>
      </c>
      <c r="C397" s="5">
        <v>97963.5</v>
      </c>
      <c r="D397" s="5">
        <v>7728465</v>
      </c>
      <c r="E397" s="4" cm="1">
        <f t="array" ref="E397">_xlfn.XLOOKUP(A397&amp;B397,Лист2!A:A&amp;Лист2!B:B,Лист2!C:C,0,0)</f>
        <v>31</v>
      </c>
      <c r="F397" s="4" cm="1">
        <f t="array" ref="F397">_xlfn.XLOOKUP(A397&amp;B397,Лист2!A:A&amp;Лист2!B:B,Лист2!D:D,0,0)</f>
        <v>5965</v>
      </c>
      <c r="G397" s="4" cm="1">
        <f t="array" ref="G397">_xlfn.XLOOKUP(A397&amp;B397,Лист2!A:A&amp;Лист2!B:B,Лист2!E:E,0,0)</f>
        <v>5533</v>
      </c>
      <c r="H397" s="27">
        <f t="shared" si="12"/>
        <v>3160.1</v>
      </c>
      <c r="I397">
        <f t="shared" si="13"/>
        <v>21</v>
      </c>
    </row>
    <row r="398" spans="1:9" ht="14.25" customHeight="1" x14ac:dyDescent="0.45">
      <c r="A398" s="8">
        <v>43983</v>
      </c>
      <c r="B398" s="3" t="s">
        <v>11</v>
      </c>
      <c r="C398" s="3">
        <v>77269.5</v>
      </c>
      <c r="D398" s="3">
        <v>6829921.5</v>
      </c>
      <c r="E398" s="4" cm="1">
        <f t="array" ref="E398">_xlfn.XLOOKUP(A398&amp;B398,Лист2!A:A&amp;Лист2!B:B,Лист2!C:C,0,0)</f>
        <v>31</v>
      </c>
      <c r="F398" s="4" cm="1">
        <f t="array" ref="F398">_xlfn.XLOOKUP(A398&amp;B398,Лист2!A:A&amp;Лист2!B:B,Лист2!D:D,0,0)</f>
        <v>5468</v>
      </c>
      <c r="G398" s="4" cm="1">
        <f t="array" ref="G398">_xlfn.XLOOKUP(A398&amp;B398,Лист2!A:A&amp;Лист2!B:B,Лист2!E:E,0,0)</f>
        <v>5081</v>
      </c>
      <c r="H398" s="27">
        <f t="shared" si="12"/>
        <v>2492.6</v>
      </c>
      <c r="I398">
        <f t="shared" si="13"/>
        <v>23</v>
      </c>
    </row>
    <row r="399" spans="1:9" ht="14.25" customHeight="1" x14ac:dyDescent="0.45">
      <c r="A399" s="9">
        <v>43982</v>
      </c>
      <c r="B399" s="5" t="s">
        <v>23</v>
      </c>
      <c r="C399" s="5">
        <v>16143</v>
      </c>
      <c r="D399" s="5">
        <v>1423410</v>
      </c>
      <c r="E399" s="4" cm="1">
        <f t="array" ref="E399">_xlfn.XLOOKUP(A399&amp;B399,Лист2!A:A&amp;Лист2!B:B,Лист2!C:C,0,0)</f>
        <v>18</v>
      </c>
      <c r="F399" s="4" cm="1">
        <f t="array" ref="F399">_xlfn.XLOOKUP(A399&amp;B399,Лист2!A:A&amp;Лист2!B:B,Лист2!D:D,0,0)</f>
        <v>1029</v>
      </c>
      <c r="G399" s="4" cm="1">
        <f t="array" ref="G399">_xlfn.XLOOKUP(A399&amp;B399,Лист2!A:A&amp;Лист2!B:B,Лист2!E:E,0,0)</f>
        <v>925</v>
      </c>
      <c r="H399" s="27">
        <f t="shared" si="12"/>
        <v>896.8</v>
      </c>
      <c r="I399">
        <f t="shared" si="13"/>
        <v>22</v>
      </c>
    </row>
    <row r="400" spans="1:9" ht="14.25" customHeight="1" x14ac:dyDescent="0.45">
      <c r="A400" s="8">
        <v>43962</v>
      </c>
      <c r="B400" s="3" t="s">
        <v>11</v>
      </c>
      <c r="C400" s="3">
        <v>72220.5</v>
      </c>
      <c r="D400" s="3">
        <v>6398719.5</v>
      </c>
      <c r="E400" s="4" cm="1">
        <f t="array" ref="E400">_xlfn.XLOOKUP(A400&amp;B400,Лист2!A:A&amp;Лист2!B:B,Лист2!C:C,0,0)</f>
        <v>31</v>
      </c>
      <c r="F400" s="4" cm="1">
        <f t="array" ref="F400">_xlfn.XLOOKUP(A400&amp;B400,Лист2!A:A&amp;Лист2!B:B,Лист2!D:D,0,0)</f>
        <v>4826</v>
      </c>
      <c r="G400" s="4" cm="1">
        <f t="array" ref="G400">_xlfn.XLOOKUP(A400&amp;B400,Лист2!A:A&amp;Лист2!B:B,Лист2!E:E,0,0)</f>
        <v>4483</v>
      </c>
      <c r="H400" s="27">
        <f t="shared" si="12"/>
        <v>2329.6999999999998</v>
      </c>
      <c r="I400">
        <f t="shared" si="13"/>
        <v>20</v>
      </c>
    </row>
    <row r="401" spans="1:9" ht="14.25" customHeight="1" x14ac:dyDescent="0.45">
      <c r="A401" s="9">
        <v>43969</v>
      </c>
      <c r="B401" s="5" t="s">
        <v>11</v>
      </c>
      <c r="C401" s="5">
        <v>78058.5</v>
      </c>
      <c r="D401" s="5">
        <v>6609714</v>
      </c>
      <c r="E401" s="4" cm="1">
        <f t="array" ref="E401">_xlfn.XLOOKUP(A401&amp;B401,Лист2!A:A&amp;Лист2!B:B,Лист2!C:C,0,0)</f>
        <v>31</v>
      </c>
      <c r="F401" s="4" cm="1">
        <f t="array" ref="F401">_xlfn.XLOOKUP(A401&amp;B401,Лист2!A:A&amp;Лист2!B:B,Лист2!D:D,0,0)</f>
        <v>5165</v>
      </c>
      <c r="G401" s="4" cm="1">
        <f t="array" ref="G401">_xlfn.XLOOKUP(A401&amp;B401,Лист2!A:A&amp;Лист2!B:B,Лист2!E:E,0,0)</f>
        <v>4813</v>
      </c>
      <c r="H401" s="27">
        <f t="shared" si="12"/>
        <v>2518</v>
      </c>
      <c r="I401">
        <f t="shared" si="13"/>
        <v>21</v>
      </c>
    </row>
    <row r="402" spans="1:9" ht="14.25" customHeight="1" x14ac:dyDescent="0.45">
      <c r="A402" s="8">
        <v>43965</v>
      </c>
      <c r="B402" s="3" t="s">
        <v>11</v>
      </c>
      <c r="C402" s="3">
        <v>70498.5</v>
      </c>
      <c r="D402" s="3">
        <v>6053649</v>
      </c>
      <c r="E402" s="4" cm="1">
        <f t="array" ref="E402">_xlfn.XLOOKUP(A402&amp;B402,Лист2!A:A&amp;Лист2!B:B,Лист2!C:C,0,0)</f>
        <v>31</v>
      </c>
      <c r="F402" s="4" cm="1">
        <f t="array" ref="F402">_xlfn.XLOOKUP(A402&amp;B402,Лист2!A:A&amp;Лист2!B:B,Лист2!D:D,0,0)</f>
        <v>4695</v>
      </c>
      <c r="G402" s="4" cm="1">
        <f t="array" ref="G402">_xlfn.XLOOKUP(A402&amp;B402,Лист2!A:A&amp;Лист2!B:B,Лист2!E:E,0,0)</f>
        <v>4372</v>
      </c>
      <c r="H402" s="27">
        <f t="shared" si="12"/>
        <v>2274.1</v>
      </c>
      <c r="I402">
        <f t="shared" si="13"/>
        <v>20</v>
      </c>
    </row>
    <row r="403" spans="1:9" ht="14.25" customHeight="1" x14ac:dyDescent="0.45">
      <c r="A403" s="9">
        <v>43966</v>
      </c>
      <c r="B403" s="5" t="s">
        <v>11</v>
      </c>
      <c r="C403" s="5">
        <v>78961.5</v>
      </c>
      <c r="D403" s="5">
        <v>6876454.5</v>
      </c>
      <c r="E403" s="4" cm="1">
        <f t="array" ref="E403">_xlfn.XLOOKUP(A403&amp;B403,Лист2!A:A&amp;Лист2!B:B,Лист2!C:C,0,0)</f>
        <v>31</v>
      </c>
      <c r="F403" s="4" cm="1">
        <f t="array" ref="F403">_xlfn.XLOOKUP(A403&amp;B403,Лист2!A:A&amp;Лист2!B:B,Лист2!D:D,0,0)</f>
        <v>5184</v>
      </c>
      <c r="G403" s="4" cm="1">
        <f t="array" ref="G403">_xlfn.XLOOKUP(A403&amp;B403,Лист2!A:A&amp;Лист2!B:B,Лист2!E:E,0,0)</f>
        <v>4778</v>
      </c>
      <c r="H403" s="27">
        <f t="shared" si="12"/>
        <v>2547.1</v>
      </c>
      <c r="I403">
        <f t="shared" si="13"/>
        <v>20</v>
      </c>
    </row>
    <row r="404" spans="1:9" ht="14.25" customHeight="1" x14ac:dyDescent="0.45">
      <c r="A404" s="8">
        <v>43978</v>
      </c>
      <c r="B404" s="3" t="s">
        <v>12</v>
      </c>
      <c r="C404" s="3">
        <v>12490.5</v>
      </c>
      <c r="D404" s="3">
        <v>1054798.5</v>
      </c>
      <c r="E404" s="4" cm="1">
        <f t="array" ref="E404">_xlfn.XLOOKUP(A404&amp;B404,Лист2!A:A&amp;Лист2!B:B,Лист2!C:C,0,0)</f>
        <v>10</v>
      </c>
      <c r="F404" s="4" cm="1">
        <f t="array" ref="F404">_xlfn.XLOOKUP(A404&amp;B404,Лист2!A:A&amp;Лист2!B:B,Лист2!D:D,0,0)</f>
        <v>757</v>
      </c>
      <c r="G404" s="4" cm="1">
        <f t="array" ref="G404">_xlfn.XLOOKUP(A404&amp;B404,Лист2!A:A&amp;Лист2!B:B,Лист2!E:E,0,0)</f>
        <v>660</v>
      </c>
      <c r="H404" s="27">
        <f t="shared" si="12"/>
        <v>1249.0999999999999</v>
      </c>
      <c r="I404">
        <f t="shared" si="13"/>
        <v>22</v>
      </c>
    </row>
    <row r="405" spans="1:9" ht="14.25" customHeight="1" x14ac:dyDescent="0.45">
      <c r="A405" s="9">
        <v>43973</v>
      </c>
      <c r="B405" s="5" t="s">
        <v>12</v>
      </c>
      <c r="C405" s="5">
        <v>18036</v>
      </c>
      <c r="D405" s="5">
        <v>1455049.5</v>
      </c>
      <c r="E405" s="4" cm="1">
        <f t="array" ref="E405">_xlfn.XLOOKUP(A405&amp;B405,Лист2!A:A&amp;Лист2!B:B,Лист2!C:C,0,0)</f>
        <v>10</v>
      </c>
      <c r="F405" s="4" cm="1">
        <f t="array" ref="F405">_xlfn.XLOOKUP(A405&amp;B405,Лист2!A:A&amp;Лист2!B:B,Лист2!D:D,0,0)</f>
        <v>965</v>
      </c>
      <c r="G405" s="4" cm="1">
        <f t="array" ref="G405">_xlfn.XLOOKUP(A405&amp;B405,Лист2!A:A&amp;Лист2!B:B,Лист2!E:E,0,0)</f>
        <v>861</v>
      </c>
      <c r="H405" s="27">
        <f t="shared" si="12"/>
        <v>1803.6</v>
      </c>
      <c r="I405">
        <f t="shared" si="13"/>
        <v>21</v>
      </c>
    </row>
    <row r="406" spans="1:9" ht="14.25" customHeight="1" x14ac:dyDescent="0.45">
      <c r="A406" s="8">
        <v>43983</v>
      </c>
      <c r="B406" s="3" t="s">
        <v>12</v>
      </c>
      <c r="C406" s="3">
        <v>11416.5</v>
      </c>
      <c r="D406" s="3">
        <v>1007742</v>
      </c>
      <c r="E406" s="4" cm="1">
        <f t="array" ref="E406">_xlfn.XLOOKUP(A406&amp;B406,Лист2!A:A&amp;Лист2!B:B,Лист2!C:C,0,0)</f>
        <v>10</v>
      </c>
      <c r="F406" s="4" cm="1">
        <f t="array" ref="F406">_xlfn.XLOOKUP(A406&amp;B406,Лист2!A:A&amp;Лист2!B:B,Лист2!D:D,0,0)</f>
        <v>719</v>
      </c>
      <c r="G406" s="4" cm="1">
        <f t="array" ref="G406">_xlfn.XLOOKUP(A406&amp;B406,Лист2!A:A&amp;Лист2!B:B,Лист2!E:E,0,0)</f>
        <v>627</v>
      </c>
      <c r="H406" s="27">
        <f t="shared" si="12"/>
        <v>1141.7</v>
      </c>
      <c r="I406">
        <f t="shared" si="13"/>
        <v>23</v>
      </c>
    </row>
    <row r="407" spans="1:9" ht="14.25" customHeight="1" x14ac:dyDescent="0.45">
      <c r="A407" s="9">
        <v>43962</v>
      </c>
      <c r="B407" s="5" t="s">
        <v>12</v>
      </c>
      <c r="C407" s="5">
        <v>9007.5</v>
      </c>
      <c r="D407" s="5">
        <v>734335.5</v>
      </c>
      <c r="E407" s="4" cm="1">
        <f t="array" ref="E407">_xlfn.XLOOKUP(A407&amp;B407,Лист2!A:A&amp;Лист2!B:B,Лист2!C:C,0,0)</f>
        <v>10</v>
      </c>
      <c r="F407" s="4" cm="1">
        <f t="array" ref="F407">_xlfn.XLOOKUP(A407&amp;B407,Лист2!A:A&amp;Лист2!B:B,Лист2!D:D,0,0)</f>
        <v>494</v>
      </c>
      <c r="G407" s="4" cm="1">
        <f t="array" ref="G407">_xlfn.XLOOKUP(A407&amp;B407,Лист2!A:A&amp;Лист2!B:B,Лист2!E:E,0,0)</f>
        <v>421</v>
      </c>
      <c r="H407" s="27">
        <f t="shared" si="12"/>
        <v>900.8</v>
      </c>
      <c r="I407">
        <f t="shared" si="13"/>
        <v>20</v>
      </c>
    </row>
    <row r="408" spans="1:9" ht="14.25" customHeight="1" x14ac:dyDescent="0.45">
      <c r="A408" s="8">
        <v>43980</v>
      </c>
      <c r="B408" s="3" t="s">
        <v>11</v>
      </c>
      <c r="C408" s="3">
        <v>87552</v>
      </c>
      <c r="D408" s="3">
        <v>7387116</v>
      </c>
      <c r="E408" s="4" cm="1">
        <f t="array" ref="E408">_xlfn.XLOOKUP(A408&amp;B408,Лист2!A:A&amp;Лист2!B:B,Лист2!C:C,0,0)</f>
        <v>31</v>
      </c>
      <c r="F408" s="4" cm="1">
        <f t="array" ref="F408">_xlfn.XLOOKUP(A408&amp;B408,Лист2!A:A&amp;Лист2!B:B,Лист2!D:D,0,0)</f>
        <v>5751</v>
      </c>
      <c r="G408" s="4" cm="1">
        <f t="array" ref="G408">_xlfn.XLOOKUP(A408&amp;B408,Лист2!A:A&amp;Лист2!B:B,Лист2!E:E,0,0)</f>
        <v>5319</v>
      </c>
      <c r="H408" s="27">
        <f t="shared" si="12"/>
        <v>2824.3</v>
      </c>
      <c r="I408">
        <f t="shared" si="13"/>
        <v>22</v>
      </c>
    </row>
    <row r="409" spans="1:9" ht="14.25" customHeight="1" x14ac:dyDescent="0.45">
      <c r="A409" s="9">
        <v>43969</v>
      </c>
      <c r="B409" s="5" t="s">
        <v>12</v>
      </c>
      <c r="C409" s="5">
        <v>11680.5</v>
      </c>
      <c r="D409" s="5">
        <v>936427.5</v>
      </c>
      <c r="E409" s="4" cm="1">
        <f t="array" ref="E409">_xlfn.XLOOKUP(A409&amp;B409,Лист2!A:A&amp;Лист2!B:B,Лист2!C:C,0,0)</f>
        <v>10</v>
      </c>
      <c r="F409" s="4" cm="1">
        <f t="array" ref="F409">_xlfn.XLOOKUP(A409&amp;B409,Лист2!A:A&amp;Лист2!B:B,Лист2!D:D,0,0)</f>
        <v>645</v>
      </c>
      <c r="G409" s="4" cm="1">
        <f t="array" ref="G409">_xlfn.XLOOKUP(A409&amp;B409,Лист2!A:A&amp;Лист2!B:B,Лист2!E:E,0,0)</f>
        <v>565</v>
      </c>
      <c r="H409" s="27">
        <f t="shared" si="12"/>
        <v>1168.0999999999999</v>
      </c>
      <c r="I409">
        <f t="shared" si="13"/>
        <v>21</v>
      </c>
    </row>
    <row r="410" spans="1:9" ht="14.25" customHeight="1" x14ac:dyDescent="0.45">
      <c r="A410" s="8">
        <v>43965</v>
      </c>
      <c r="B410" s="3" t="s">
        <v>12</v>
      </c>
      <c r="C410" s="3">
        <v>12037.5</v>
      </c>
      <c r="D410" s="3">
        <v>981564</v>
      </c>
      <c r="E410" s="4" cm="1">
        <f t="array" ref="E410">_xlfn.XLOOKUP(A410&amp;B410,Лист2!A:A&amp;Лист2!B:B,Лист2!C:C,0,0)</f>
        <v>10</v>
      </c>
      <c r="F410" s="4" cm="1">
        <f t="array" ref="F410">_xlfn.XLOOKUP(A410&amp;B410,Лист2!A:A&amp;Лист2!B:B,Лист2!D:D,0,0)</f>
        <v>627</v>
      </c>
      <c r="G410" s="4" cm="1">
        <f t="array" ref="G410">_xlfn.XLOOKUP(A410&amp;B410,Лист2!A:A&amp;Лист2!B:B,Лист2!E:E,0,0)</f>
        <v>545</v>
      </c>
      <c r="H410" s="27">
        <f t="shared" si="12"/>
        <v>1203.8</v>
      </c>
      <c r="I410">
        <f t="shared" si="13"/>
        <v>20</v>
      </c>
    </row>
    <row r="411" spans="1:9" ht="14.25" customHeight="1" x14ac:dyDescent="0.45">
      <c r="A411" s="9">
        <v>43966</v>
      </c>
      <c r="B411" s="5" t="s">
        <v>12</v>
      </c>
      <c r="C411" s="5">
        <v>14421</v>
      </c>
      <c r="D411" s="5">
        <v>1150579.5</v>
      </c>
      <c r="E411" s="4" cm="1">
        <f t="array" ref="E411">_xlfn.XLOOKUP(A411&amp;B411,Лист2!A:A&amp;Лист2!B:B,Лист2!C:C,0,0)</f>
        <v>10</v>
      </c>
      <c r="F411" s="4" cm="1">
        <f t="array" ref="F411">_xlfn.XLOOKUP(A411&amp;B411,Лист2!A:A&amp;Лист2!B:B,Лист2!D:D,0,0)</f>
        <v>743</v>
      </c>
      <c r="G411" s="4" cm="1">
        <f t="array" ref="G411">_xlfn.XLOOKUP(A411&amp;B411,Лист2!A:A&amp;Лист2!B:B,Лист2!E:E,0,0)</f>
        <v>652</v>
      </c>
      <c r="H411" s="27">
        <f t="shared" si="12"/>
        <v>1442.1</v>
      </c>
      <c r="I411">
        <f t="shared" si="13"/>
        <v>20</v>
      </c>
    </row>
    <row r="412" spans="1:9" ht="14.25" customHeight="1" x14ac:dyDescent="0.45">
      <c r="A412" s="8">
        <v>43980</v>
      </c>
      <c r="B412" s="3" t="s">
        <v>12</v>
      </c>
      <c r="C412" s="3">
        <v>14823</v>
      </c>
      <c r="D412" s="3">
        <v>1273464</v>
      </c>
      <c r="E412" s="4" cm="1">
        <f t="array" ref="E412">_xlfn.XLOOKUP(A412&amp;B412,Лист2!A:A&amp;Лист2!B:B,Лист2!C:C,0,0)</f>
        <v>10</v>
      </c>
      <c r="F412" s="4" cm="1">
        <f t="array" ref="F412">_xlfn.XLOOKUP(A412&amp;B412,Лист2!A:A&amp;Лист2!B:B,Лист2!D:D,0,0)</f>
        <v>873</v>
      </c>
      <c r="G412" s="4" cm="1">
        <f t="array" ref="G412">_xlfn.XLOOKUP(A412&amp;B412,Лист2!A:A&amp;Лист2!B:B,Лист2!E:E,0,0)</f>
        <v>770</v>
      </c>
      <c r="H412" s="27">
        <f t="shared" si="12"/>
        <v>1482.3</v>
      </c>
      <c r="I412">
        <f t="shared" si="13"/>
        <v>22</v>
      </c>
    </row>
    <row r="413" spans="1:9" ht="14.25" customHeight="1" x14ac:dyDescent="0.45">
      <c r="A413" s="9">
        <v>43978</v>
      </c>
      <c r="B413" s="5" t="s">
        <v>13</v>
      </c>
      <c r="C413" s="5">
        <v>31257</v>
      </c>
      <c r="D413" s="5">
        <v>2924133</v>
      </c>
      <c r="E413" s="4" cm="1">
        <f t="array" ref="E413">_xlfn.XLOOKUP(A413&amp;B413,Лист2!A:A&amp;Лист2!B:B,Лист2!C:C,0,0)</f>
        <v>20</v>
      </c>
      <c r="F413" s="4" cm="1">
        <f t="array" ref="F413">_xlfn.XLOOKUP(A413&amp;B413,Лист2!A:A&amp;Лист2!B:B,Лист2!D:D,0,0)</f>
        <v>2079</v>
      </c>
      <c r="G413" s="4" cm="1">
        <f t="array" ref="G413">_xlfn.XLOOKUP(A413&amp;B413,Лист2!A:A&amp;Лист2!B:B,Лист2!E:E,0,0)</f>
        <v>1856</v>
      </c>
      <c r="H413" s="27">
        <f t="shared" si="12"/>
        <v>1562.9</v>
      </c>
      <c r="I413">
        <f t="shared" si="13"/>
        <v>22</v>
      </c>
    </row>
    <row r="414" spans="1:9" ht="14.25" customHeight="1" x14ac:dyDescent="0.45">
      <c r="A414" s="8">
        <v>43973</v>
      </c>
      <c r="B414" s="3" t="s">
        <v>13</v>
      </c>
      <c r="C414" s="3">
        <v>38074.5</v>
      </c>
      <c r="D414" s="3">
        <v>3414180</v>
      </c>
      <c r="E414" s="4" cm="1">
        <f t="array" ref="E414">_xlfn.XLOOKUP(A414&amp;B414,Лист2!A:A&amp;Лист2!B:B,Лист2!C:C,0,0)</f>
        <v>20</v>
      </c>
      <c r="F414" s="4" cm="1">
        <f t="array" ref="F414">_xlfn.XLOOKUP(A414&amp;B414,Лист2!A:A&amp;Лист2!B:B,Лист2!D:D,0,0)</f>
        <v>2306</v>
      </c>
      <c r="G414" s="4" cm="1">
        <f t="array" ref="G414">_xlfn.XLOOKUP(A414&amp;B414,Лист2!A:A&amp;Лист2!B:B,Лист2!E:E,0,0)</f>
        <v>2054</v>
      </c>
      <c r="H414" s="27">
        <f t="shared" si="12"/>
        <v>1903.7</v>
      </c>
      <c r="I414">
        <f t="shared" si="13"/>
        <v>21</v>
      </c>
    </row>
    <row r="415" spans="1:9" ht="14.25" customHeight="1" x14ac:dyDescent="0.45">
      <c r="A415" s="9">
        <v>43983</v>
      </c>
      <c r="B415" s="5" t="s">
        <v>13</v>
      </c>
      <c r="C415" s="5">
        <v>32170.5</v>
      </c>
      <c r="D415" s="5">
        <v>3013512</v>
      </c>
      <c r="E415" s="4" cm="1">
        <f t="array" ref="E415">_xlfn.XLOOKUP(A415&amp;B415,Лист2!A:A&amp;Лист2!B:B,Лист2!C:C,0,0)</f>
        <v>20</v>
      </c>
      <c r="F415" s="4" cm="1">
        <f t="array" ref="F415">_xlfn.XLOOKUP(A415&amp;B415,Лист2!A:A&amp;Лист2!B:B,Лист2!D:D,0,0)</f>
        <v>2136</v>
      </c>
      <c r="G415" s="4" cm="1">
        <f t="array" ref="G415">_xlfn.XLOOKUP(A415&amp;B415,Лист2!A:A&amp;Лист2!B:B,Лист2!E:E,0,0)</f>
        <v>1899</v>
      </c>
      <c r="H415" s="27">
        <f t="shared" si="12"/>
        <v>1608.5</v>
      </c>
      <c r="I415">
        <f t="shared" si="13"/>
        <v>23</v>
      </c>
    </row>
    <row r="416" spans="1:9" ht="14.25" customHeight="1" x14ac:dyDescent="0.45">
      <c r="A416" s="8">
        <v>43962</v>
      </c>
      <c r="B416" s="3" t="s">
        <v>13</v>
      </c>
      <c r="C416" s="3">
        <v>42397.5</v>
      </c>
      <c r="D416" s="3">
        <v>3911979</v>
      </c>
      <c r="E416" s="4" cm="1">
        <f t="array" ref="E416">_xlfn.XLOOKUP(A416&amp;B416,Лист2!A:A&amp;Лист2!B:B,Лист2!C:C,0,0)</f>
        <v>19</v>
      </c>
      <c r="F416" s="4" cm="1">
        <f t="array" ref="F416">_xlfn.XLOOKUP(A416&amp;B416,Лист2!A:A&amp;Лист2!B:B,Лист2!D:D,0,0)</f>
        <v>2530</v>
      </c>
      <c r="G416" s="4" cm="1">
        <f t="array" ref="G416">_xlfn.XLOOKUP(A416&amp;B416,Лист2!A:A&amp;Лист2!B:B,Лист2!E:E,0,0)</f>
        <v>2270</v>
      </c>
      <c r="H416" s="27">
        <f t="shared" si="12"/>
        <v>2231.4</v>
      </c>
      <c r="I416">
        <f t="shared" si="13"/>
        <v>20</v>
      </c>
    </row>
    <row r="417" spans="1:9" ht="14.25" customHeight="1" x14ac:dyDescent="0.45">
      <c r="A417" s="9">
        <v>43969</v>
      </c>
      <c r="B417" s="5" t="s">
        <v>13</v>
      </c>
      <c r="C417" s="5">
        <v>28668</v>
      </c>
      <c r="D417" s="5">
        <v>2588148</v>
      </c>
      <c r="E417" s="4" cm="1">
        <f t="array" ref="E417">_xlfn.XLOOKUP(A417&amp;B417,Лист2!A:A&amp;Лист2!B:B,Лист2!C:C,0,0)</f>
        <v>19</v>
      </c>
      <c r="F417" s="4" cm="1">
        <f t="array" ref="F417">_xlfn.XLOOKUP(A417&amp;B417,Лист2!A:A&amp;Лист2!B:B,Лист2!D:D,0,0)</f>
        <v>1858</v>
      </c>
      <c r="G417" s="4" cm="1">
        <f t="array" ref="G417">_xlfn.XLOOKUP(A417&amp;B417,Лист2!A:A&amp;Лист2!B:B,Лист2!E:E,0,0)</f>
        <v>1648</v>
      </c>
      <c r="H417" s="27">
        <f t="shared" si="12"/>
        <v>1508.8</v>
      </c>
      <c r="I417">
        <f t="shared" si="13"/>
        <v>21</v>
      </c>
    </row>
    <row r="418" spans="1:9" ht="14.25" customHeight="1" x14ac:dyDescent="0.45">
      <c r="A418" s="8">
        <v>43965</v>
      </c>
      <c r="B418" s="3" t="s">
        <v>13</v>
      </c>
      <c r="C418" s="3">
        <v>27411</v>
      </c>
      <c r="D418" s="3">
        <v>2441520</v>
      </c>
      <c r="E418" s="4" cm="1">
        <f t="array" ref="E418">_xlfn.XLOOKUP(A418&amp;B418,Лист2!A:A&amp;Лист2!B:B,Лист2!C:C,0,0)</f>
        <v>19</v>
      </c>
      <c r="F418" s="4" cm="1">
        <f t="array" ref="F418">_xlfn.XLOOKUP(A418&amp;B418,Лист2!A:A&amp;Лист2!B:B,Лист2!D:D,0,0)</f>
        <v>1675</v>
      </c>
      <c r="G418" s="4" cm="1">
        <f t="array" ref="G418">_xlfn.XLOOKUP(A418&amp;B418,Лист2!A:A&amp;Лист2!B:B,Лист2!E:E,0,0)</f>
        <v>1475</v>
      </c>
      <c r="H418" s="27">
        <f t="shared" si="12"/>
        <v>1442.7</v>
      </c>
      <c r="I418">
        <f t="shared" si="13"/>
        <v>20</v>
      </c>
    </row>
    <row r="419" spans="1:9" ht="14.25" customHeight="1" x14ac:dyDescent="0.45">
      <c r="A419" s="9">
        <v>43966</v>
      </c>
      <c r="B419" s="5" t="s">
        <v>13</v>
      </c>
      <c r="C419" s="5">
        <v>32854.5</v>
      </c>
      <c r="D419" s="5">
        <v>2949078</v>
      </c>
      <c r="E419" s="4" cm="1">
        <f t="array" ref="E419">_xlfn.XLOOKUP(A419&amp;B419,Лист2!A:A&amp;Лист2!B:B,Лист2!C:C,0,0)</f>
        <v>19</v>
      </c>
      <c r="F419" s="4" cm="1">
        <f t="array" ref="F419">_xlfn.XLOOKUP(A419&amp;B419,Лист2!A:A&amp;Лист2!B:B,Лист2!D:D,0,0)</f>
        <v>1940</v>
      </c>
      <c r="G419" s="4" cm="1">
        <f t="array" ref="G419">_xlfn.XLOOKUP(A419&amp;B419,Лист2!A:A&amp;Лист2!B:B,Лист2!E:E,0,0)</f>
        <v>1715</v>
      </c>
      <c r="H419" s="27">
        <f t="shared" si="12"/>
        <v>1729.2</v>
      </c>
      <c r="I419">
        <f t="shared" si="13"/>
        <v>20</v>
      </c>
    </row>
    <row r="420" spans="1:9" ht="14.25" customHeight="1" x14ac:dyDescent="0.45">
      <c r="A420" s="8">
        <v>43980</v>
      </c>
      <c r="B420" s="3" t="s">
        <v>13</v>
      </c>
      <c r="C420" s="3">
        <v>35346</v>
      </c>
      <c r="D420" s="3">
        <v>3258054</v>
      </c>
      <c r="E420" s="4" cm="1">
        <f t="array" ref="E420">_xlfn.XLOOKUP(A420&amp;B420,Лист2!A:A&amp;Лист2!B:B,Лист2!C:C,0,0)</f>
        <v>20</v>
      </c>
      <c r="F420" s="4" cm="1">
        <f t="array" ref="F420">_xlfn.XLOOKUP(A420&amp;B420,Лист2!A:A&amp;Лист2!B:B,Лист2!D:D,0,0)</f>
        <v>2249</v>
      </c>
      <c r="G420" s="4" cm="1">
        <f t="array" ref="G420">_xlfn.XLOOKUP(A420&amp;B420,Лист2!A:A&amp;Лист2!B:B,Лист2!E:E,0,0)</f>
        <v>2000</v>
      </c>
      <c r="H420" s="27">
        <f t="shared" si="12"/>
        <v>1767.3</v>
      </c>
      <c r="I420">
        <f t="shared" si="13"/>
        <v>22</v>
      </c>
    </row>
    <row r="421" spans="1:9" ht="14.25" customHeight="1" x14ac:dyDescent="0.45">
      <c r="A421" s="9">
        <v>43978</v>
      </c>
      <c r="B421" s="5" t="s">
        <v>14</v>
      </c>
      <c r="C421" s="5">
        <v>286558.5</v>
      </c>
      <c r="D421" s="5">
        <v>29256993</v>
      </c>
      <c r="E421" s="4" cm="1">
        <f t="array" ref="E421">_xlfn.XLOOKUP(A421&amp;B421,Лист2!A:A&amp;Лист2!B:B,Лист2!C:C,0,0)</f>
        <v>129</v>
      </c>
      <c r="F421" s="4" cm="1">
        <f t="array" ref="F421">_xlfn.XLOOKUP(A421&amp;B421,Лист2!A:A&amp;Лист2!B:B,Лист2!D:D,0,0)</f>
        <v>17115</v>
      </c>
      <c r="G421" s="4" cm="1">
        <f t="array" ref="G421">_xlfn.XLOOKUP(A421&amp;B421,Лист2!A:A&amp;Лист2!B:B,Лист2!E:E,0,0)</f>
        <v>15962</v>
      </c>
      <c r="H421" s="27">
        <f t="shared" si="12"/>
        <v>2221.4</v>
      </c>
      <c r="I421">
        <f t="shared" si="13"/>
        <v>22</v>
      </c>
    </row>
    <row r="422" spans="1:9" ht="14.25" customHeight="1" x14ac:dyDescent="0.45">
      <c r="A422" s="8">
        <v>43973</v>
      </c>
      <c r="B422" s="3" t="s">
        <v>14</v>
      </c>
      <c r="C422" s="3">
        <v>304092</v>
      </c>
      <c r="D422" s="3">
        <v>29465769</v>
      </c>
      <c r="E422" s="4" cm="1">
        <f t="array" ref="E422">_xlfn.XLOOKUP(A422&amp;B422,Лист2!A:A&amp;Лист2!B:B,Лист2!C:C,0,0)</f>
        <v>129</v>
      </c>
      <c r="F422" s="4" cm="1">
        <f t="array" ref="F422">_xlfn.XLOOKUP(A422&amp;B422,Лист2!A:A&amp;Лист2!B:B,Лист2!D:D,0,0)</f>
        <v>17088</v>
      </c>
      <c r="G422" s="4" cm="1">
        <f t="array" ref="G422">_xlfn.XLOOKUP(A422&amp;B422,Лист2!A:A&amp;Лист2!B:B,Лист2!E:E,0,0)</f>
        <v>15804</v>
      </c>
      <c r="H422" s="27">
        <f t="shared" si="12"/>
        <v>2357.3000000000002</v>
      </c>
      <c r="I422">
        <f t="shared" si="13"/>
        <v>21</v>
      </c>
    </row>
    <row r="423" spans="1:9" ht="14.25" customHeight="1" x14ac:dyDescent="0.45">
      <c r="A423" s="9">
        <v>43983</v>
      </c>
      <c r="B423" s="5" t="s">
        <v>14</v>
      </c>
      <c r="C423" s="5">
        <v>272926.5</v>
      </c>
      <c r="D423" s="5">
        <v>27770092.5</v>
      </c>
      <c r="E423" s="4" cm="1">
        <f t="array" ref="E423">_xlfn.XLOOKUP(A423&amp;B423,Лист2!A:A&amp;Лист2!B:B,Лист2!C:C,0,0)</f>
        <v>128</v>
      </c>
      <c r="F423" s="4" cm="1">
        <f t="array" ref="F423">_xlfn.XLOOKUP(A423&amp;B423,Лист2!A:A&amp;Лист2!B:B,Лист2!D:D,0,0)</f>
        <v>16285</v>
      </c>
      <c r="G423" s="4" cm="1">
        <f t="array" ref="G423">_xlfn.XLOOKUP(A423&amp;B423,Лист2!A:A&amp;Лист2!B:B,Лист2!E:E,0,0)</f>
        <v>15130</v>
      </c>
      <c r="H423" s="27">
        <f t="shared" si="12"/>
        <v>2132.1999999999998</v>
      </c>
      <c r="I423">
        <f t="shared" si="13"/>
        <v>23</v>
      </c>
    </row>
    <row r="424" spans="1:9" ht="14.25" customHeight="1" x14ac:dyDescent="0.45">
      <c r="A424" s="8">
        <v>43962</v>
      </c>
      <c r="B424" s="3" t="s">
        <v>14</v>
      </c>
      <c r="C424" s="3">
        <v>237099</v>
      </c>
      <c r="D424" s="3">
        <v>24628233.223949999</v>
      </c>
      <c r="E424" s="4" cm="1">
        <f t="array" ref="E424">_xlfn.XLOOKUP(A424&amp;B424,Лист2!A:A&amp;Лист2!B:B,Лист2!C:C,0,0)</f>
        <v>129</v>
      </c>
      <c r="F424" s="4" cm="1">
        <f t="array" ref="F424">_xlfn.XLOOKUP(A424&amp;B424,Лист2!A:A&amp;Лист2!B:B,Лист2!D:D,0,0)</f>
        <v>14043</v>
      </c>
      <c r="G424" s="4" cm="1">
        <f t="array" ref="G424">_xlfn.XLOOKUP(A424&amp;B424,Лист2!A:A&amp;Лист2!B:B,Лист2!E:E,0,0)</f>
        <v>13167</v>
      </c>
      <c r="H424" s="27">
        <f t="shared" si="12"/>
        <v>1838</v>
      </c>
      <c r="I424">
        <f t="shared" si="13"/>
        <v>20</v>
      </c>
    </row>
    <row r="425" spans="1:9" ht="14.25" customHeight="1" x14ac:dyDescent="0.45">
      <c r="A425" s="9">
        <v>43969</v>
      </c>
      <c r="B425" s="5" t="s">
        <v>14</v>
      </c>
      <c r="C425" s="5">
        <v>273900</v>
      </c>
      <c r="D425" s="5">
        <v>27535284.147600003</v>
      </c>
      <c r="E425" s="4" cm="1">
        <f t="array" ref="E425">_xlfn.XLOOKUP(A425&amp;B425,Лист2!A:A&amp;Лист2!B:B,Лист2!C:C,0,0)</f>
        <v>129</v>
      </c>
      <c r="F425" s="4" cm="1">
        <f t="array" ref="F425">_xlfn.XLOOKUP(A425&amp;B425,Лист2!A:A&amp;Лист2!B:B,Лист2!D:D,0,0)</f>
        <v>16110</v>
      </c>
      <c r="G425" s="4" cm="1">
        <f t="array" ref="G425">_xlfn.XLOOKUP(A425&amp;B425,Лист2!A:A&amp;Лист2!B:B,Лист2!E:E,0,0)</f>
        <v>14992</v>
      </c>
      <c r="H425" s="27">
        <f t="shared" si="12"/>
        <v>2123.3000000000002</v>
      </c>
      <c r="I425">
        <f t="shared" si="13"/>
        <v>21</v>
      </c>
    </row>
    <row r="426" spans="1:9" ht="14.25" customHeight="1" x14ac:dyDescent="0.45">
      <c r="A426" s="8">
        <v>43965</v>
      </c>
      <c r="B426" s="3" t="s">
        <v>14</v>
      </c>
      <c r="C426" s="3">
        <v>274059</v>
      </c>
      <c r="D426" s="3">
        <v>28181292</v>
      </c>
      <c r="E426" s="4" cm="1">
        <f t="array" ref="E426">_xlfn.XLOOKUP(A426&amp;B426,Лист2!A:A&amp;Лист2!B:B,Лист2!C:C,0,0)</f>
        <v>129</v>
      </c>
      <c r="F426" s="4" cm="1">
        <f t="array" ref="F426">_xlfn.XLOOKUP(A426&amp;B426,Лист2!A:A&amp;Лист2!B:B,Лист2!D:D,0,0)</f>
        <v>15804</v>
      </c>
      <c r="G426" s="4" cm="1">
        <f t="array" ref="G426">_xlfn.XLOOKUP(A426&amp;B426,Лист2!A:A&amp;Лист2!B:B,Лист2!E:E,0,0)</f>
        <v>14738</v>
      </c>
      <c r="H426" s="27">
        <f t="shared" si="12"/>
        <v>2124.5</v>
      </c>
      <c r="I426">
        <f t="shared" si="13"/>
        <v>20</v>
      </c>
    </row>
    <row r="427" spans="1:9" ht="14.25" customHeight="1" x14ac:dyDescent="0.45">
      <c r="A427" s="9">
        <v>43966</v>
      </c>
      <c r="B427" s="5" t="s">
        <v>14</v>
      </c>
      <c r="C427" s="5">
        <v>318816</v>
      </c>
      <c r="D427" s="5">
        <v>32354331</v>
      </c>
      <c r="E427" s="4" cm="1">
        <f t="array" ref="E427">_xlfn.XLOOKUP(A427&amp;B427,Лист2!A:A&amp;Лист2!B:B,Лист2!C:C,0,0)</f>
        <v>129</v>
      </c>
      <c r="F427" s="4" cm="1">
        <f t="array" ref="F427">_xlfn.XLOOKUP(A427&amp;B427,Лист2!A:A&amp;Лист2!B:B,Лист2!D:D,0,0)</f>
        <v>17808</v>
      </c>
      <c r="G427" s="4" cm="1">
        <f t="array" ref="G427">_xlfn.XLOOKUP(A427&amp;B427,Лист2!A:A&amp;Лист2!B:B,Лист2!E:E,0,0)</f>
        <v>16486</v>
      </c>
      <c r="H427" s="27">
        <f t="shared" si="12"/>
        <v>2471.4</v>
      </c>
      <c r="I427">
        <f t="shared" si="13"/>
        <v>20</v>
      </c>
    </row>
    <row r="428" spans="1:9" ht="14.25" customHeight="1" x14ac:dyDescent="0.45">
      <c r="A428" s="8">
        <v>43978</v>
      </c>
      <c r="B428" s="3" t="s">
        <v>15</v>
      </c>
      <c r="C428" s="3">
        <v>370012.5</v>
      </c>
      <c r="D428" s="3">
        <v>39034861.5</v>
      </c>
      <c r="E428" s="4" cm="1">
        <f t="array" ref="E428">_xlfn.XLOOKUP(A428&amp;B428,Лист2!A:A&amp;Лист2!B:B,Лист2!C:C,0,0)</f>
        <v>124</v>
      </c>
      <c r="F428" s="4" cm="1">
        <f t="array" ref="F428">_xlfn.XLOOKUP(A428&amp;B428,Лист2!A:A&amp;Лист2!B:B,Лист2!D:D,0,0)</f>
        <v>21384</v>
      </c>
      <c r="G428" s="4" cm="1">
        <f t="array" ref="G428">_xlfn.XLOOKUP(A428&amp;B428,Лист2!A:A&amp;Лист2!B:B,Лист2!E:E,0,0)</f>
        <v>19897</v>
      </c>
      <c r="H428" s="27">
        <f t="shared" si="12"/>
        <v>2984</v>
      </c>
      <c r="I428">
        <f t="shared" si="13"/>
        <v>22</v>
      </c>
    </row>
    <row r="429" spans="1:9" ht="14.25" customHeight="1" x14ac:dyDescent="0.45">
      <c r="A429" s="9">
        <v>43973</v>
      </c>
      <c r="B429" s="5" t="s">
        <v>15</v>
      </c>
      <c r="C429" s="5">
        <v>393018</v>
      </c>
      <c r="D429" s="5">
        <v>39498373.5</v>
      </c>
      <c r="E429" s="4" cm="1">
        <f t="array" ref="E429">_xlfn.XLOOKUP(A429&amp;B429,Лист2!A:A&amp;Лист2!B:B,Лист2!C:C,0,0)</f>
        <v>125</v>
      </c>
      <c r="F429" s="4" cm="1">
        <f t="array" ref="F429">_xlfn.XLOOKUP(A429&amp;B429,Лист2!A:A&amp;Лист2!B:B,Лист2!D:D,0,0)</f>
        <v>21427</v>
      </c>
      <c r="G429" s="4" cm="1">
        <f t="array" ref="G429">_xlfn.XLOOKUP(A429&amp;B429,Лист2!A:A&amp;Лист2!B:B,Лист2!E:E,0,0)</f>
        <v>19799</v>
      </c>
      <c r="H429" s="27">
        <f t="shared" si="12"/>
        <v>3144.1</v>
      </c>
      <c r="I429">
        <f t="shared" si="13"/>
        <v>21</v>
      </c>
    </row>
    <row r="430" spans="1:9" ht="14.25" customHeight="1" x14ac:dyDescent="0.45">
      <c r="A430" s="8">
        <v>43983</v>
      </c>
      <c r="B430" s="3" t="s">
        <v>15</v>
      </c>
      <c r="C430" s="3">
        <v>349699.5</v>
      </c>
      <c r="D430" s="3">
        <v>37257840.18135</v>
      </c>
      <c r="E430" s="4" cm="1">
        <f t="array" ref="E430">_xlfn.XLOOKUP(A430&amp;B430,Лист2!A:A&amp;Лист2!B:B,Лист2!C:C,0,0)</f>
        <v>123</v>
      </c>
      <c r="F430" s="4" cm="1">
        <f t="array" ref="F430">_xlfn.XLOOKUP(A430&amp;B430,Лист2!A:A&amp;Лист2!B:B,Лист2!D:D,0,0)</f>
        <v>20325</v>
      </c>
      <c r="G430" s="4" cm="1">
        <f t="array" ref="G430">_xlfn.XLOOKUP(A430&amp;B430,Лист2!A:A&amp;Лист2!B:B,Лист2!E:E,0,0)</f>
        <v>18935</v>
      </c>
      <c r="H430" s="27">
        <f t="shared" si="12"/>
        <v>2843.1</v>
      </c>
      <c r="I430">
        <f t="shared" si="13"/>
        <v>23</v>
      </c>
    </row>
    <row r="431" spans="1:9" ht="14.25" customHeight="1" x14ac:dyDescent="0.45">
      <c r="A431" s="9">
        <v>43962</v>
      </c>
      <c r="B431" s="5" t="s">
        <v>15</v>
      </c>
      <c r="C431" s="5">
        <v>318565.5</v>
      </c>
      <c r="D431" s="5">
        <v>33781581</v>
      </c>
      <c r="E431" s="4" cm="1">
        <f t="array" ref="E431">_xlfn.XLOOKUP(A431&amp;B431,Лист2!A:A&amp;Лист2!B:B,Лист2!C:C,0,0)</f>
        <v>125</v>
      </c>
      <c r="F431" s="4" cm="1">
        <f t="array" ref="F431">_xlfn.XLOOKUP(A431&amp;B431,Лист2!A:A&amp;Лист2!B:B,Лист2!D:D,0,0)</f>
        <v>18066</v>
      </c>
      <c r="G431" s="4" cm="1">
        <f t="array" ref="G431">_xlfn.XLOOKUP(A431&amp;B431,Лист2!A:A&amp;Лист2!B:B,Лист2!E:E,0,0)</f>
        <v>16883</v>
      </c>
      <c r="H431" s="27">
        <f t="shared" si="12"/>
        <v>2548.5</v>
      </c>
      <c r="I431">
        <f t="shared" si="13"/>
        <v>20</v>
      </c>
    </row>
    <row r="432" spans="1:9" ht="14.25" customHeight="1" x14ac:dyDescent="0.45">
      <c r="A432" s="8">
        <v>43980</v>
      </c>
      <c r="B432" s="3" t="s">
        <v>14</v>
      </c>
      <c r="C432" s="3">
        <v>422965.5</v>
      </c>
      <c r="D432" s="3">
        <v>41767140.105000004</v>
      </c>
      <c r="E432" s="4" cm="1">
        <f t="array" ref="E432">_xlfn.XLOOKUP(A432&amp;B432,Лист2!A:A&amp;Лист2!B:B,Лист2!C:C,0,0)</f>
        <v>129</v>
      </c>
      <c r="F432" s="4" cm="1">
        <f t="array" ref="F432">_xlfn.XLOOKUP(A432&amp;B432,Лист2!A:A&amp;Лист2!B:B,Лист2!D:D,0,0)</f>
        <v>22403</v>
      </c>
      <c r="G432" s="4" cm="1">
        <f t="array" ref="G432">_xlfn.XLOOKUP(A432&amp;B432,Лист2!A:A&amp;Лист2!B:B,Лист2!E:E,0,0)</f>
        <v>20676</v>
      </c>
      <c r="H432" s="27">
        <f t="shared" si="12"/>
        <v>3278.8</v>
      </c>
      <c r="I432">
        <f t="shared" si="13"/>
        <v>22</v>
      </c>
    </row>
    <row r="433" spans="1:9" ht="14.25" customHeight="1" x14ac:dyDescent="0.45">
      <c r="A433" s="9">
        <v>43969</v>
      </c>
      <c r="B433" s="5" t="s">
        <v>15</v>
      </c>
      <c r="C433" s="5">
        <v>355081.5</v>
      </c>
      <c r="D433" s="5">
        <v>36876888</v>
      </c>
      <c r="E433" s="4" cm="1">
        <f t="array" ref="E433">_xlfn.XLOOKUP(A433&amp;B433,Лист2!A:A&amp;Лист2!B:B,Лист2!C:C,0,0)</f>
        <v>125</v>
      </c>
      <c r="F433" s="4" cm="1">
        <f t="array" ref="F433">_xlfn.XLOOKUP(A433&amp;B433,Лист2!A:A&amp;Лист2!B:B,Лист2!D:D,0,0)</f>
        <v>20449</v>
      </c>
      <c r="G433" s="4" cm="1">
        <f t="array" ref="G433">_xlfn.XLOOKUP(A433&amp;B433,Лист2!A:A&amp;Лист2!B:B,Лист2!E:E,0,0)</f>
        <v>19060</v>
      </c>
      <c r="H433" s="27">
        <f t="shared" si="12"/>
        <v>2840.7</v>
      </c>
      <c r="I433">
        <f t="shared" si="13"/>
        <v>21</v>
      </c>
    </row>
    <row r="434" spans="1:9" ht="14.25" customHeight="1" x14ac:dyDescent="0.45">
      <c r="A434" s="8">
        <v>43965</v>
      </c>
      <c r="B434" s="3" t="s">
        <v>15</v>
      </c>
      <c r="C434" s="3">
        <v>358387.5</v>
      </c>
      <c r="D434" s="3">
        <v>37963150.5</v>
      </c>
      <c r="E434" s="4" cm="1">
        <f t="array" ref="E434">_xlfn.XLOOKUP(A434&amp;B434,Лист2!A:A&amp;Лист2!B:B,Лист2!C:C,0,0)</f>
        <v>125</v>
      </c>
      <c r="F434" s="4" cm="1">
        <f t="array" ref="F434">_xlfn.XLOOKUP(A434&amp;B434,Лист2!A:A&amp;Лист2!B:B,Лист2!D:D,0,0)</f>
        <v>20247</v>
      </c>
      <c r="G434" s="4" cm="1">
        <f t="array" ref="G434">_xlfn.XLOOKUP(A434&amp;B434,Лист2!A:A&amp;Лист2!B:B,Лист2!E:E,0,0)</f>
        <v>18812</v>
      </c>
      <c r="H434" s="27">
        <f t="shared" si="12"/>
        <v>2867.1</v>
      </c>
      <c r="I434">
        <f t="shared" si="13"/>
        <v>20</v>
      </c>
    </row>
    <row r="435" spans="1:9" ht="14.25" customHeight="1" x14ac:dyDescent="0.45">
      <c r="A435" s="9">
        <v>43966</v>
      </c>
      <c r="B435" s="5" t="s">
        <v>15</v>
      </c>
      <c r="C435" s="5">
        <v>403261.5</v>
      </c>
      <c r="D435" s="5">
        <v>42271377</v>
      </c>
      <c r="E435" s="4" cm="1">
        <f t="array" ref="E435">_xlfn.XLOOKUP(A435&amp;B435,Лист2!A:A&amp;Лист2!B:B,Лист2!C:C,0,0)</f>
        <v>125</v>
      </c>
      <c r="F435" s="4" cm="1">
        <f t="array" ref="F435">_xlfn.XLOOKUP(A435&amp;B435,Лист2!A:A&amp;Лист2!B:B,Лист2!D:D,0,0)</f>
        <v>21862</v>
      </c>
      <c r="G435" s="4" cm="1">
        <f t="array" ref="G435">_xlfn.XLOOKUP(A435&amp;B435,Лист2!A:A&amp;Лист2!B:B,Лист2!E:E,0,0)</f>
        <v>20235</v>
      </c>
      <c r="H435" s="27">
        <f t="shared" si="12"/>
        <v>3226.1</v>
      </c>
      <c r="I435">
        <f t="shared" si="13"/>
        <v>20</v>
      </c>
    </row>
    <row r="436" spans="1:9" ht="14.25" customHeight="1" x14ac:dyDescent="0.45">
      <c r="A436" s="8">
        <v>43978</v>
      </c>
      <c r="B436" s="3" t="s">
        <v>16</v>
      </c>
      <c r="C436" s="3">
        <v>69010.5</v>
      </c>
      <c r="D436" s="3">
        <v>5985894</v>
      </c>
      <c r="E436" s="4" cm="1">
        <f t="array" ref="E436">_xlfn.XLOOKUP(A436&amp;B436,Лист2!A:A&amp;Лист2!B:B,Лист2!C:C,0,0)</f>
        <v>36</v>
      </c>
      <c r="F436" s="4" cm="1">
        <f t="array" ref="F436">_xlfn.XLOOKUP(A436&amp;B436,Лист2!A:A&amp;Лист2!B:B,Лист2!D:D,0,0)</f>
        <v>4951</v>
      </c>
      <c r="G436" s="4" cm="1">
        <f t="array" ref="G436">_xlfn.XLOOKUP(A436&amp;B436,Лист2!A:A&amp;Лист2!B:B,Лист2!E:E,0,0)</f>
        <v>4584</v>
      </c>
      <c r="H436" s="27">
        <f t="shared" si="12"/>
        <v>1917</v>
      </c>
      <c r="I436">
        <f t="shared" si="13"/>
        <v>22</v>
      </c>
    </row>
    <row r="437" spans="1:9" ht="14.25" customHeight="1" x14ac:dyDescent="0.45">
      <c r="A437" s="9">
        <v>43973</v>
      </c>
      <c r="B437" s="5" t="s">
        <v>16</v>
      </c>
      <c r="C437" s="5">
        <v>75820.5</v>
      </c>
      <c r="D437" s="5">
        <v>5943489</v>
      </c>
      <c r="E437" s="4" cm="1">
        <f t="array" ref="E437">_xlfn.XLOOKUP(A437&amp;B437,Лист2!A:A&amp;Лист2!B:B,Лист2!C:C,0,0)</f>
        <v>36</v>
      </c>
      <c r="F437" s="4" cm="1">
        <f t="array" ref="F437">_xlfn.XLOOKUP(A437&amp;B437,Лист2!A:A&amp;Лист2!B:B,Лист2!D:D,0,0)</f>
        <v>4857</v>
      </c>
      <c r="G437" s="4" cm="1">
        <f t="array" ref="G437">_xlfn.XLOOKUP(A437&amp;B437,Лист2!A:A&amp;Лист2!B:B,Лист2!E:E,0,0)</f>
        <v>4456</v>
      </c>
      <c r="H437" s="27">
        <f t="shared" si="12"/>
        <v>2106.1</v>
      </c>
      <c r="I437">
        <f t="shared" si="13"/>
        <v>21</v>
      </c>
    </row>
    <row r="438" spans="1:9" ht="14.25" customHeight="1" x14ac:dyDescent="0.45">
      <c r="A438" s="8">
        <v>43983</v>
      </c>
      <c r="B438" s="3" t="s">
        <v>16</v>
      </c>
      <c r="C438" s="3">
        <v>64740</v>
      </c>
      <c r="D438" s="3">
        <v>5800290</v>
      </c>
      <c r="E438" s="4" cm="1">
        <f t="array" ref="E438">_xlfn.XLOOKUP(A438&amp;B438,Лист2!A:A&amp;Лист2!B:B,Лист2!C:C,0,0)</f>
        <v>37</v>
      </c>
      <c r="F438" s="4" cm="1">
        <f t="array" ref="F438">_xlfn.XLOOKUP(A438&amp;B438,Лист2!A:A&amp;Лист2!B:B,Лист2!D:D,0,0)</f>
        <v>4722</v>
      </c>
      <c r="G438" s="4" cm="1">
        <f t="array" ref="G438">_xlfn.XLOOKUP(A438&amp;B438,Лист2!A:A&amp;Лист2!B:B,Лист2!E:E,0,0)</f>
        <v>4352</v>
      </c>
      <c r="H438" s="27">
        <f t="shared" si="12"/>
        <v>1749.7</v>
      </c>
      <c r="I438">
        <f t="shared" si="13"/>
        <v>23</v>
      </c>
    </row>
    <row r="439" spans="1:9" ht="14.25" customHeight="1" x14ac:dyDescent="0.45">
      <c r="A439" s="9">
        <v>43962</v>
      </c>
      <c r="B439" s="5" t="s">
        <v>16</v>
      </c>
      <c r="C439" s="5">
        <v>59574</v>
      </c>
      <c r="D439" s="5">
        <v>5178169.5</v>
      </c>
      <c r="E439" s="4" cm="1">
        <f t="array" ref="E439">_xlfn.XLOOKUP(A439&amp;B439,Лист2!A:A&amp;Лист2!B:B,Лист2!C:C,0,0)</f>
        <v>36</v>
      </c>
      <c r="F439" s="4" cm="1">
        <f t="array" ref="F439">_xlfn.XLOOKUP(A439&amp;B439,Лист2!A:A&amp;Лист2!B:B,Лист2!D:D,0,0)</f>
        <v>4150</v>
      </c>
      <c r="G439" s="4" cm="1">
        <f t="array" ref="G439">_xlfn.XLOOKUP(A439&amp;B439,Лист2!A:A&amp;Лист2!B:B,Лист2!E:E,0,0)</f>
        <v>3838</v>
      </c>
      <c r="H439" s="27">
        <f t="shared" si="12"/>
        <v>1654.8</v>
      </c>
      <c r="I439">
        <f t="shared" si="13"/>
        <v>20</v>
      </c>
    </row>
    <row r="440" spans="1:9" ht="14.25" customHeight="1" x14ac:dyDescent="0.45">
      <c r="A440" s="8">
        <v>43980</v>
      </c>
      <c r="B440" s="3" t="s">
        <v>15</v>
      </c>
      <c r="C440" s="3">
        <v>524481</v>
      </c>
      <c r="D440" s="3">
        <v>54172029</v>
      </c>
      <c r="E440" s="4" cm="1">
        <f t="array" ref="E440">_xlfn.XLOOKUP(A440&amp;B440,Лист2!A:A&amp;Лист2!B:B,Лист2!C:C,0,0)</f>
        <v>124</v>
      </c>
      <c r="F440" s="4" cm="1">
        <f t="array" ref="F440">_xlfn.XLOOKUP(A440&amp;B440,Лист2!A:A&amp;Лист2!B:B,Лист2!D:D,0,0)</f>
        <v>25828</v>
      </c>
      <c r="G440" s="4" cm="1">
        <f t="array" ref="G440">_xlfn.XLOOKUP(A440&amp;B440,Лист2!A:A&amp;Лист2!B:B,Лист2!E:E,0,0)</f>
        <v>23974</v>
      </c>
      <c r="H440" s="27">
        <f t="shared" si="12"/>
        <v>4229.7</v>
      </c>
      <c r="I440">
        <f t="shared" si="13"/>
        <v>22</v>
      </c>
    </row>
    <row r="441" spans="1:9" ht="14.25" customHeight="1" x14ac:dyDescent="0.45">
      <c r="A441" s="9">
        <v>43969</v>
      </c>
      <c r="B441" s="5" t="s">
        <v>16</v>
      </c>
      <c r="C441" s="5">
        <v>70278</v>
      </c>
      <c r="D441" s="5">
        <v>5798476.5</v>
      </c>
      <c r="E441" s="4" cm="1">
        <f t="array" ref="E441">_xlfn.XLOOKUP(A441&amp;B441,Лист2!A:A&amp;Лист2!B:B,Лист2!C:C,0,0)</f>
        <v>36</v>
      </c>
      <c r="F441" s="4" cm="1">
        <f t="array" ref="F441">_xlfn.XLOOKUP(A441&amp;B441,Лист2!A:A&amp;Лист2!B:B,Лист2!D:D,0,0)</f>
        <v>4885</v>
      </c>
      <c r="G441" s="4" cm="1">
        <f t="array" ref="G441">_xlfn.XLOOKUP(A441&amp;B441,Лист2!A:A&amp;Лист2!B:B,Лист2!E:E,0,0)</f>
        <v>4502</v>
      </c>
      <c r="H441" s="27">
        <f t="shared" si="12"/>
        <v>1952.2</v>
      </c>
      <c r="I441">
        <f t="shared" si="13"/>
        <v>21</v>
      </c>
    </row>
    <row r="442" spans="1:9" ht="14.25" customHeight="1" x14ac:dyDescent="0.45">
      <c r="A442" s="8">
        <v>43965</v>
      </c>
      <c r="B442" s="3" t="s">
        <v>16</v>
      </c>
      <c r="C442" s="3">
        <v>63645</v>
      </c>
      <c r="D442" s="3">
        <v>5366602.5</v>
      </c>
      <c r="E442" s="4" cm="1">
        <f t="array" ref="E442">_xlfn.XLOOKUP(A442&amp;B442,Лист2!A:A&amp;Лист2!B:B,Лист2!C:C,0,0)</f>
        <v>36</v>
      </c>
      <c r="F442" s="4" cm="1">
        <f t="array" ref="F442">_xlfn.XLOOKUP(A442&amp;B442,Лист2!A:A&amp;Лист2!B:B,Лист2!D:D,0,0)</f>
        <v>4285</v>
      </c>
      <c r="G442" s="4" cm="1">
        <f t="array" ref="G442">_xlfn.XLOOKUP(A442&amp;B442,Лист2!A:A&amp;Лист2!B:B,Лист2!E:E,0,0)</f>
        <v>3950</v>
      </c>
      <c r="H442" s="27">
        <f t="shared" si="12"/>
        <v>1767.9</v>
      </c>
      <c r="I442">
        <f t="shared" si="13"/>
        <v>20</v>
      </c>
    </row>
    <row r="443" spans="1:9" ht="14.25" customHeight="1" x14ac:dyDescent="0.45">
      <c r="A443" s="9">
        <v>43966</v>
      </c>
      <c r="B443" s="5" t="s">
        <v>16</v>
      </c>
      <c r="C443" s="5">
        <v>75642</v>
      </c>
      <c r="D443" s="5">
        <v>6293952</v>
      </c>
      <c r="E443" s="4" cm="1">
        <f t="array" ref="E443">_xlfn.XLOOKUP(A443&amp;B443,Лист2!A:A&amp;Лист2!B:B,Лист2!C:C,0,0)</f>
        <v>36</v>
      </c>
      <c r="F443" s="4" cm="1">
        <f t="array" ref="F443">_xlfn.XLOOKUP(A443&amp;B443,Лист2!A:A&amp;Лист2!B:B,Лист2!D:D,0,0)</f>
        <v>4862</v>
      </c>
      <c r="G443" s="4" cm="1">
        <f t="array" ref="G443">_xlfn.XLOOKUP(A443&amp;B443,Лист2!A:A&amp;Лист2!B:B,Лист2!E:E,0,0)</f>
        <v>4476</v>
      </c>
      <c r="H443" s="27">
        <f t="shared" si="12"/>
        <v>2101.1999999999998</v>
      </c>
      <c r="I443">
        <f t="shared" si="13"/>
        <v>20</v>
      </c>
    </row>
    <row r="444" spans="1:9" ht="14.25" customHeight="1" x14ac:dyDescent="0.45">
      <c r="A444" s="8">
        <v>43978</v>
      </c>
      <c r="B444" s="3" t="s">
        <v>17</v>
      </c>
      <c r="C444" s="3">
        <v>40420.5</v>
      </c>
      <c r="D444" s="3">
        <v>3780852</v>
      </c>
      <c r="E444" s="4" cm="1">
        <f t="array" ref="E444">_xlfn.XLOOKUP(A444&amp;B444,Лист2!A:A&amp;Лист2!B:B,Лист2!C:C,0,0)</f>
        <v>21</v>
      </c>
      <c r="F444" s="4" cm="1">
        <f t="array" ref="F444">_xlfn.XLOOKUP(A444&amp;B444,Лист2!A:A&amp;Лист2!B:B,Лист2!D:D,0,0)</f>
        <v>2430</v>
      </c>
      <c r="G444" s="4" cm="1">
        <f t="array" ref="G444">_xlfn.XLOOKUP(A444&amp;B444,Лист2!A:A&amp;Лист2!B:B,Лист2!E:E,0,0)</f>
        <v>2216</v>
      </c>
      <c r="H444" s="27">
        <f t="shared" si="12"/>
        <v>1924.8</v>
      </c>
      <c r="I444">
        <f t="shared" si="13"/>
        <v>22</v>
      </c>
    </row>
    <row r="445" spans="1:9" ht="14.25" customHeight="1" x14ac:dyDescent="0.45">
      <c r="A445" s="9">
        <v>43973</v>
      </c>
      <c r="B445" s="5" t="s">
        <v>17</v>
      </c>
      <c r="C445" s="5">
        <v>53838</v>
      </c>
      <c r="D445" s="5">
        <v>4840833</v>
      </c>
      <c r="E445" s="4" cm="1">
        <f t="array" ref="E445">_xlfn.XLOOKUP(A445&amp;B445,Лист2!A:A&amp;Лист2!B:B,Лист2!C:C,0,0)</f>
        <v>21</v>
      </c>
      <c r="F445" s="4" cm="1">
        <f t="array" ref="F445">_xlfn.XLOOKUP(A445&amp;B445,Лист2!A:A&amp;Лист2!B:B,Лист2!D:D,0,0)</f>
        <v>2861</v>
      </c>
      <c r="G445" s="4" cm="1">
        <f t="array" ref="G445">_xlfn.XLOOKUP(A445&amp;B445,Лист2!A:A&amp;Лист2!B:B,Лист2!E:E,0,0)</f>
        <v>2612</v>
      </c>
      <c r="H445" s="27">
        <f t="shared" si="12"/>
        <v>2563.6999999999998</v>
      </c>
      <c r="I445">
        <f t="shared" si="13"/>
        <v>21</v>
      </c>
    </row>
    <row r="446" spans="1:9" ht="14.25" customHeight="1" x14ac:dyDescent="0.45">
      <c r="A446" s="8">
        <v>43983</v>
      </c>
      <c r="B446" s="3" t="s">
        <v>17</v>
      </c>
      <c r="C446" s="3">
        <v>40528.5</v>
      </c>
      <c r="D446" s="3">
        <v>3865251</v>
      </c>
      <c r="E446" s="4" cm="1">
        <f t="array" ref="E446">_xlfn.XLOOKUP(A446&amp;B446,Лист2!A:A&amp;Лист2!B:B,Лист2!C:C,0,0)</f>
        <v>23</v>
      </c>
      <c r="F446" s="4" cm="1">
        <f t="array" ref="F446">_xlfn.XLOOKUP(A446&amp;B446,Лист2!A:A&amp;Лист2!B:B,Лист2!D:D,0,0)</f>
        <v>2531</v>
      </c>
      <c r="G446" s="4" cm="1">
        <f t="array" ref="G446">_xlfn.XLOOKUP(A446&amp;B446,Лист2!A:A&amp;Лист2!B:B,Лист2!E:E,0,0)</f>
        <v>2296</v>
      </c>
      <c r="H446" s="27">
        <f t="shared" si="12"/>
        <v>1762.1</v>
      </c>
      <c r="I446">
        <f t="shared" si="13"/>
        <v>23</v>
      </c>
    </row>
    <row r="447" spans="1:9" ht="14.25" customHeight="1" x14ac:dyDescent="0.45">
      <c r="A447" s="9">
        <v>43962</v>
      </c>
      <c r="B447" s="5" t="s">
        <v>17</v>
      </c>
      <c r="C447" s="5">
        <v>32733</v>
      </c>
      <c r="D447" s="5">
        <v>3079630.5</v>
      </c>
      <c r="E447" s="4" cm="1">
        <f t="array" ref="E447">_xlfn.XLOOKUP(A447&amp;B447,Лист2!A:A&amp;Лист2!B:B,Лист2!C:C,0,0)</f>
        <v>21</v>
      </c>
      <c r="F447" s="4" cm="1">
        <f t="array" ref="F447">_xlfn.XLOOKUP(A447&amp;B447,Лист2!A:A&amp;Лист2!B:B,Лист2!D:D,0,0)</f>
        <v>1916</v>
      </c>
      <c r="G447" s="4" cm="1">
        <f t="array" ref="G447">_xlfn.XLOOKUP(A447&amp;B447,Лист2!A:A&amp;Лист2!B:B,Лист2!E:E,0,0)</f>
        <v>1733</v>
      </c>
      <c r="H447" s="27">
        <f t="shared" si="12"/>
        <v>1558.7</v>
      </c>
      <c r="I447">
        <f t="shared" si="13"/>
        <v>20</v>
      </c>
    </row>
    <row r="448" spans="1:9" ht="14.25" customHeight="1" x14ac:dyDescent="0.45">
      <c r="A448" s="8">
        <v>43980</v>
      </c>
      <c r="B448" s="3" t="s">
        <v>16</v>
      </c>
      <c r="C448" s="3">
        <v>84433.5</v>
      </c>
      <c r="D448" s="3">
        <v>7228395</v>
      </c>
      <c r="E448" s="4" cm="1">
        <f t="array" ref="E448">_xlfn.XLOOKUP(A448&amp;B448,Лист2!A:A&amp;Лист2!B:B,Лист2!C:C,0,0)</f>
        <v>37</v>
      </c>
      <c r="F448" s="4" cm="1">
        <f t="array" ref="F448">_xlfn.XLOOKUP(A448&amp;B448,Лист2!A:A&amp;Лист2!B:B,Лист2!D:D,0,0)</f>
        <v>5672</v>
      </c>
      <c r="G448" s="4" cm="1">
        <f t="array" ref="G448">_xlfn.XLOOKUP(A448&amp;B448,Лист2!A:A&amp;Лист2!B:B,Лист2!E:E,0,0)</f>
        <v>5198</v>
      </c>
      <c r="H448" s="27">
        <f t="shared" si="12"/>
        <v>2282</v>
      </c>
      <c r="I448">
        <f t="shared" si="13"/>
        <v>22</v>
      </c>
    </row>
    <row r="449" spans="1:9" ht="14.25" customHeight="1" x14ac:dyDescent="0.45">
      <c r="A449" s="9">
        <v>43969</v>
      </c>
      <c r="B449" s="5" t="s">
        <v>17</v>
      </c>
      <c r="C449" s="5">
        <v>36655.5</v>
      </c>
      <c r="D449" s="5">
        <v>3360135</v>
      </c>
      <c r="E449" s="4" cm="1">
        <f t="array" ref="E449">_xlfn.XLOOKUP(A449&amp;B449,Лист2!A:A&amp;Лист2!B:B,Лист2!C:C,0,0)</f>
        <v>21</v>
      </c>
      <c r="F449" s="4" cm="1">
        <f t="array" ref="F449">_xlfn.XLOOKUP(A449&amp;B449,Лист2!A:A&amp;Лист2!B:B,Лист2!D:D,0,0)</f>
        <v>2136</v>
      </c>
      <c r="G449" s="4" cm="1">
        <f t="array" ref="G449">_xlfn.XLOOKUP(A449&amp;B449,Лист2!A:A&amp;Лист2!B:B,Лист2!E:E,0,0)</f>
        <v>1947</v>
      </c>
      <c r="H449" s="27">
        <f t="shared" si="12"/>
        <v>1745.5</v>
      </c>
      <c r="I449">
        <f t="shared" si="13"/>
        <v>21</v>
      </c>
    </row>
    <row r="450" spans="1:9" ht="14.25" customHeight="1" x14ac:dyDescent="0.45">
      <c r="A450" s="8">
        <v>43965</v>
      </c>
      <c r="B450" s="3" t="s">
        <v>17</v>
      </c>
      <c r="C450" s="3">
        <v>33886.5</v>
      </c>
      <c r="D450" s="3">
        <v>3166479</v>
      </c>
      <c r="E450" s="4" cm="1">
        <f t="array" ref="E450">_xlfn.XLOOKUP(A450&amp;B450,Лист2!A:A&amp;Лист2!B:B,Лист2!C:C,0,0)</f>
        <v>21</v>
      </c>
      <c r="F450" s="4" cm="1">
        <f t="array" ref="F450">_xlfn.XLOOKUP(A450&amp;B450,Лист2!A:A&amp;Лист2!B:B,Лист2!D:D,0,0)</f>
        <v>1993</v>
      </c>
      <c r="G450" s="4" cm="1">
        <f t="array" ref="G450">_xlfn.XLOOKUP(A450&amp;B450,Лист2!A:A&amp;Лист2!B:B,Лист2!E:E,0,0)</f>
        <v>1796</v>
      </c>
      <c r="H450" s="27">
        <f t="shared" si="12"/>
        <v>1613.6</v>
      </c>
      <c r="I450">
        <f t="shared" si="13"/>
        <v>20</v>
      </c>
    </row>
    <row r="451" spans="1:9" ht="14.25" customHeight="1" x14ac:dyDescent="0.45">
      <c r="A451" s="9">
        <v>43966</v>
      </c>
      <c r="B451" s="5" t="s">
        <v>17</v>
      </c>
      <c r="C451" s="5">
        <v>41697</v>
      </c>
      <c r="D451" s="5">
        <v>3772258.5</v>
      </c>
      <c r="E451" s="4" cm="1">
        <f t="array" ref="E451">_xlfn.XLOOKUP(A451&amp;B451,Лист2!A:A&amp;Лист2!B:B,Лист2!C:C,0,0)</f>
        <v>21</v>
      </c>
      <c r="F451" s="4" cm="1">
        <f t="array" ref="F451">_xlfn.XLOOKUP(A451&amp;B451,Лист2!A:A&amp;Лист2!B:B,Лист2!D:D,0,0)</f>
        <v>2255</v>
      </c>
      <c r="G451" s="4" cm="1">
        <f t="array" ref="G451">_xlfn.XLOOKUP(A451&amp;B451,Лист2!A:A&amp;Лист2!B:B,Лист2!E:E,0,0)</f>
        <v>2045</v>
      </c>
      <c r="H451" s="27">
        <f t="shared" ref="H451:H505" si="14">ROUND(C451/E451, 1)</f>
        <v>1985.6</v>
      </c>
      <c r="I451">
        <f t="shared" ref="I451:I505" si="15">WEEKNUM(A451,2)</f>
        <v>20</v>
      </c>
    </row>
    <row r="452" spans="1:9" ht="14.25" customHeight="1" x14ac:dyDescent="0.45">
      <c r="A452" s="8">
        <v>43980</v>
      </c>
      <c r="B452" s="3" t="s">
        <v>17</v>
      </c>
      <c r="C452" s="3">
        <v>44569.5</v>
      </c>
      <c r="D452" s="3">
        <v>4108596</v>
      </c>
      <c r="E452" s="4" cm="1">
        <f t="array" ref="E452">_xlfn.XLOOKUP(A452&amp;B452,Лист2!A:A&amp;Лист2!B:B,Лист2!C:C,0,0)</f>
        <v>22</v>
      </c>
      <c r="F452" s="4" cm="1">
        <f t="array" ref="F452">_xlfn.XLOOKUP(A452&amp;B452,Лист2!A:A&amp;Лист2!B:B,Лист2!D:D,0,0)</f>
        <v>2597</v>
      </c>
      <c r="G452" s="4" cm="1">
        <f t="array" ref="G452">_xlfn.XLOOKUP(A452&amp;B452,Лист2!A:A&amp;Лист2!B:B,Лист2!E:E,0,0)</f>
        <v>2379</v>
      </c>
      <c r="H452" s="27">
        <f t="shared" si="14"/>
        <v>2025.9</v>
      </c>
      <c r="I452">
        <f t="shared" si="15"/>
        <v>22</v>
      </c>
    </row>
    <row r="453" spans="1:9" ht="14.25" customHeight="1" x14ac:dyDescent="0.45">
      <c r="A453" s="9">
        <v>43978</v>
      </c>
      <c r="B453" s="5" t="s">
        <v>18</v>
      </c>
      <c r="C453" s="5">
        <v>18069</v>
      </c>
      <c r="D453" s="5">
        <v>1603084.5</v>
      </c>
      <c r="E453" s="4" cm="1">
        <f t="array" ref="E453">_xlfn.XLOOKUP(A453&amp;B453,Лист2!A:A&amp;Лист2!B:B,Лист2!C:C,0,0)</f>
        <v>17</v>
      </c>
      <c r="F453" s="4" cm="1">
        <f t="array" ref="F453">_xlfn.XLOOKUP(A453&amp;B453,Лист2!A:A&amp;Лист2!B:B,Лист2!D:D,0,0)</f>
        <v>1203</v>
      </c>
      <c r="G453" s="4" cm="1">
        <f t="array" ref="G453">_xlfn.XLOOKUP(A453&amp;B453,Лист2!A:A&amp;Лист2!B:B,Лист2!E:E,0,0)</f>
        <v>1077</v>
      </c>
      <c r="H453" s="27">
        <f t="shared" si="14"/>
        <v>1062.9000000000001</v>
      </c>
      <c r="I453">
        <f t="shared" si="15"/>
        <v>22</v>
      </c>
    </row>
    <row r="454" spans="1:9" ht="14.25" customHeight="1" x14ac:dyDescent="0.45">
      <c r="A454" s="8">
        <v>43973</v>
      </c>
      <c r="B454" s="3" t="s">
        <v>18</v>
      </c>
      <c r="C454" s="3">
        <v>21483</v>
      </c>
      <c r="D454" s="3">
        <v>1774329</v>
      </c>
      <c r="E454" s="4" cm="1">
        <f t="array" ref="E454">_xlfn.XLOOKUP(A454&amp;B454,Лист2!A:A&amp;Лист2!B:B,Лист2!C:C,0,0)</f>
        <v>17</v>
      </c>
      <c r="F454" s="4" cm="1">
        <f t="array" ref="F454">_xlfn.XLOOKUP(A454&amp;B454,Лист2!A:A&amp;Лист2!B:B,Лист2!D:D,0,0)</f>
        <v>1268</v>
      </c>
      <c r="G454" s="4" cm="1">
        <f t="array" ref="G454">_xlfn.XLOOKUP(A454&amp;B454,Лист2!A:A&amp;Лист2!B:B,Лист2!E:E,0,0)</f>
        <v>1129</v>
      </c>
      <c r="H454" s="27">
        <f t="shared" si="14"/>
        <v>1263.7</v>
      </c>
      <c r="I454">
        <f t="shared" si="15"/>
        <v>21</v>
      </c>
    </row>
    <row r="455" spans="1:9" ht="14.25" customHeight="1" x14ac:dyDescent="0.45">
      <c r="A455" s="9">
        <v>43983</v>
      </c>
      <c r="B455" s="5" t="s">
        <v>18</v>
      </c>
      <c r="C455" s="5">
        <v>16687.5</v>
      </c>
      <c r="D455" s="5">
        <v>1526608.5</v>
      </c>
      <c r="E455" s="4" cm="1">
        <f t="array" ref="E455">_xlfn.XLOOKUP(A455&amp;B455,Лист2!A:A&amp;Лист2!B:B,Лист2!C:C,0,0)</f>
        <v>17</v>
      </c>
      <c r="F455" s="4" cm="1">
        <f t="array" ref="F455">_xlfn.XLOOKUP(A455&amp;B455,Лист2!A:A&amp;Лист2!B:B,Лист2!D:D,0,0)</f>
        <v>1185</v>
      </c>
      <c r="G455" s="4" cm="1">
        <f t="array" ref="G455">_xlfn.XLOOKUP(A455&amp;B455,Лист2!A:A&amp;Лист2!B:B,Лист2!E:E,0,0)</f>
        <v>1042</v>
      </c>
      <c r="H455" s="27">
        <f t="shared" si="14"/>
        <v>981.6</v>
      </c>
      <c r="I455">
        <f t="shared" si="15"/>
        <v>23</v>
      </c>
    </row>
    <row r="456" spans="1:9" ht="14.25" customHeight="1" x14ac:dyDescent="0.45">
      <c r="A456" s="8">
        <v>43962</v>
      </c>
      <c r="B456" s="3" t="s">
        <v>18</v>
      </c>
      <c r="C456" s="3">
        <v>12238.5</v>
      </c>
      <c r="D456" s="3">
        <v>1096002</v>
      </c>
      <c r="E456" s="4" cm="1">
        <f t="array" ref="E456">_xlfn.XLOOKUP(A456&amp;B456,Лист2!A:A&amp;Лист2!B:B,Лист2!C:C,0,0)</f>
        <v>15</v>
      </c>
      <c r="F456" s="4" cm="1">
        <f t="array" ref="F456">_xlfn.XLOOKUP(A456&amp;B456,Лист2!A:A&amp;Лист2!B:B,Лист2!D:D,0,0)</f>
        <v>812</v>
      </c>
      <c r="G456" s="4" cm="1">
        <f t="array" ref="G456">_xlfn.XLOOKUP(A456&amp;B456,Лист2!A:A&amp;Лист2!B:B,Лист2!E:E,0,0)</f>
        <v>714</v>
      </c>
      <c r="H456" s="27">
        <f t="shared" si="14"/>
        <v>815.9</v>
      </c>
      <c r="I456">
        <f t="shared" si="15"/>
        <v>20</v>
      </c>
    </row>
    <row r="457" spans="1:9" ht="14.25" customHeight="1" x14ac:dyDescent="0.45">
      <c r="A457" s="9">
        <v>43969</v>
      </c>
      <c r="B457" s="5" t="s">
        <v>18</v>
      </c>
      <c r="C457" s="5">
        <v>14290.5</v>
      </c>
      <c r="D457" s="5">
        <v>1246162.5</v>
      </c>
      <c r="E457" s="4" cm="1">
        <f t="array" ref="E457">_xlfn.XLOOKUP(A457&amp;B457,Лист2!A:A&amp;Лист2!B:B,Лист2!C:C,0,0)</f>
        <v>16</v>
      </c>
      <c r="F457" s="4" cm="1">
        <f t="array" ref="F457">_xlfn.XLOOKUP(A457&amp;B457,Лист2!A:A&amp;Лист2!B:B,Лист2!D:D,0,0)</f>
        <v>925</v>
      </c>
      <c r="G457" s="4" cm="1">
        <f t="array" ref="G457">_xlfn.XLOOKUP(A457&amp;B457,Лист2!A:A&amp;Лист2!B:B,Лист2!E:E,0,0)</f>
        <v>816</v>
      </c>
      <c r="H457" s="27">
        <f t="shared" si="14"/>
        <v>893.2</v>
      </c>
      <c r="I457">
        <f t="shared" si="15"/>
        <v>21</v>
      </c>
    </row>
    <row r="458" spans="1:9" ht="14.25" customHeight="1" x14ac:dyDescent="0.45">
      <c r="A458" s="8">
        <v>43965</v>
      </c>
      <c r="B458" s="3" t="s">
        <v>18</v>
      </c>
      <c r="C458" s="3">
        <v>14385</v>
      </c>
      <c r="D458" s="3">
        <v>1223491.5</v>
      </c>
      <c r="E458" s="4" cm="1">
        <f t="array" ref="E458">_xlfn.XLOOKUP(A458&amp;B458,Лист2!A:A&amp;Лист2!B:B,Лист2!C:C,0,0)</f>
        <v>15</v>
      </c>
      <c r="F458" s="4" cm="1">
        <f t="array" ref="F458">_xlfn.XLOOKUP(A458&amp;B458,Лист2!A:A&amp;Лист2!B:B,Лист2!D:D,0,0)</f>
        <v>890</v>
      </c>
      <c r="G458" s="4" cm="1">
        <f t="array" ref="G458">_xlfn.XLOOKUP(A458&amp;B458,Лист2!A:A&amp;Лист2!B:B,Лист2!E:E,0,0)</f>
        <v>777</v>
      </c>
      <c r="H458" s="27">
        <f t="shared" si="14"/>
        <v>959</v>
      </c>
      <c r="I458">
        <f t="shared" si="15"/>
        <v>20</v>
      </c>
    </row>
    <row r="459" spans="1:9" ht="14.25" customHeight="1" x14ac:dyDescent="0.45">
      <c r="A459" s="9">
        <v>43966</v>
      </c>
      <c r="B459" s="5" t="s">
        <v>18</v>
      </c>
      <c r="C459" s="5">
        <v>16498.5</v>
      </c>
      <c r="D459" s="5">
        <v>1370482.5</v>
      </c>
      <c r="E459" s="4" cm="1">
        <f t="array" ref="E459">_xlfn.XLOOKUP(A459&amp;B459,Лист2!A:A&amp;Лист2!B:B,Лист2!C:C,0,0)</f>
        <v>15</v>
      </c>
      <c r="F459" s="4" cm="1">
        <f t="array" ref="F459">_xlfn.XLOOKUP(A459&amp;B459,Лист2!A:A&amp;Лист2!B:B,Лист2!D:D,0,0)</f>
        <v>980</v>
      </c>
      <c r="G459" s="4" cm="1">
        <f t="array" ref="G459">_xlfn.XLOOKUP(A459&amp;B459,Лист2!A:A&amp;Лист2!B:B,Лист2!E:E,0,0)</f>
        <v>867</v>
      </c>
      <c r="H459" s="27">
        <f t="shared" si="14"/>
        <v>1099.9000000000001</v>
      </c>
      <c r="I459">
        <f t="shared" si="15"/>
        <v>20</v>
      </c>
    </row>
    <row r="460" spans="1:9" ht="14.25" customHeight="1" x14ac:dyDescent="0.45">
      <c r="A460" s="8">
        <v>43978</v>
      </c>
      <c r="B460" s="3" t="s">
        <v>19</v>
      </c>
      <c r="C460" s="3">
        <v>13203</v>
      </c>
      <c r="D460" s="3">
        <v>1211457</v>
      </c>
      <c r="E460" s="4" cm="1">
        <f t="array" ref="E460">_xlfn.XLOOKUP(A460&amp;B460,Лист2!A:A&amp;Лист2!B:B,Лист2!C:C,0,0)</f>
        <v>15</v>
      </c>
      <c r="F460" s="4" cm="1">
        <f t="array" ref="F460">_xlfn.XLOOKUP(A460&amp;B460,Лист2!A:A&amp;Лист2!B:B,Лист2!D:D,0,0)</f>
        <v>809</v>
      </c>
      <c r="G460" s="4" cm="1">
        <f t="array" ref="G460">_xlfn.XLOOKUP(A460&amp;B460,Лист2!A:A&amp;Лист2!B:B,Лист2!E:E,0,0)</f>
        <v>702</v>
      </c>
      <c r="H460" s="27">
        <f t="shared" si="14"/>
        <v>880.2</v>
      </c>
      <c r="I460">
        <f t="shared" si="15"/>
        <v>22</v>
      </c>
    </row>
    <row r="461" spans="1:9" ht="14.25" customHeight="1" x14ac:dyDescent="0.45">
      <c r="A461" s="9">
        <v>43973</v>
      </c>
      <c r="B461" s="5" t="s">
        <v>19</v>
      </c>
      <c r="C461" s="5">
        <v>15802.5</v>
      </c>
      <c r="D461" s="5">
        <v>1411909.5</v>
      </c>
      <c r="E461" s="4" cm="1">
        <f t="array" ref="E461">_xlfn.XLOOKUP(A461&amp;B461,Лист2!A:A&amp;Лист2!B:B,Лист2!C:C,0,0)</f>
        <v>15</v>
      </c>
      <c r="F461" s="4" cm="1">
        <f t="array" ref="F461">_xlfn.XLOOKUP(A461&amp;B461,Лист2!A:A&amp;Лист2!B:B,Лист2!D:D,0,0)</f>
        <v>903</v>
      </c>
      <c r="G461" s="4" cm="1">
        <f t="array" ref="G461">_xlfn.XLOOKUP(A461&amp;B461,Лист2!A:A&amp;Лист2!B:B,Лист2!E:E,0,0)</f>
        <v>792</v>
      </c>
      <c r="H461" s="27">
        <f t="shared" si="14"/>
        <v>1053.5</v>
      </c>
      <c r="I461">
        <f t="shared" si="15"/>
        <v>21</v>
      </c>
    </row>
    <row r="462" spans="1:9" ht="14.25" customHeight="1" x14ac:dyDescent="0.45">
      <c r="A462" s="8">
        <v>43983</v>
      </c>
      <c r="B462" s="3" t="s">
        <v>19</v>
      </c>
      <c r="C462" s="3">
        <v>16476</v>
      </c>
      <c r="D462" s="3">
        <v>1565632.5</v>
      </c>
      <c r="E462" s="4" cm="1">
        <f t="array" ref="E462">_xlfn.XLOOKUP(A462&amp;B462,Лист2!A:A&amp;Лист2!B:B,Лист2!C:C,0,0)</f>
        <v>16</v>
      </c>
      <c r="F462" s="4" cm="1">
        <f t="array" ref="F462">_xlfn.XLOOKUP(A462&amp;B462,Лист2!A:A&amp;Лист2!B:B,Лист2!D:D,0,0)</f>
        <v>1019</v>
      </c>
      <c r="G462" s="4" cm="1">
        <f t="array" ref="G462">_xlfn.XLOOKUP(A462&amp;B462,Лист2!A:A&amp;Лист2!B:B,Лист2!E:E,0,0)</f>
        <v>895</v>
      </c>
      <c r="H462" s="27">
        <f t="shared" si="14"/>
        <v>1029.8</v>
      </c>
      <c r="I462">
        <f t="shared" si="15"/>
        <v>23</v>
      </c>
    </row>
    <row r="463" spans="1:9" ht="14.25" customHeight="1" x14ac:dyDescent="0.45">
      <c r="A463" s="9">
        <v>43962</v>
      </c>
      <c r="B463" s="5" t="s">
        <v>19</v>
      </c>
      <c r="C463" s="5">
        <v>12654</v>
      </c>
      <c r="D463" s="5">
        <v>1081158</v>
      </c>
      <c r="E463" s="4" cm="1">
        <f t="array" ref="E463">_xlfn.XLOOKUP(A463&amp;B463,Лист2!A:A&amp;Лист2!B:B,Лист2!C:C,0,0)</f>
        <v>15</v>
      </c>
      <c r="F463" s="4" cm="1">
        <f t="array" ref="F463">_xlfn.XLOOKUP(A463&amp;B463,Лист2!A:A&amp;Лист2!B:B,Лист2!D:D,0,0)</f>
        <v>684</v>
      </c>
      <c r="G463" s="4" cm="1">
        <f t="array" ref="G463">_xlfn.XLOOKUP(A463&amp;B463,Лист2!A:A&amp;Лист2!B:B,Лист2!E:E,0,0)</f>
        <v>585</v>
      </c>
      <c r="H463" s="27">
        <f t="shared" si="14"/>
        <v>843.6</v>
      </c>
      <c r="I463">
        <f t="shared" si="15"/>
        <v>20</v>
      </c>
    </row>
    <row r="464" spans="1:9" ht="14.25" customHeight="1" x14ac:dyDescent="0.45">
      <c r="A464" s="8">
        <v>43980</v>
      </c>
      <c r="B464" s="3" t="s">
        <v>18</v>
      </c>
      <c r="C464" s="3">
        <v>19647</v>
      </c>
      <c r="D464" s="3">
        <v>1764669</v>
      </c>
      <c r="E464" s="4" cm="1">
        <f t="array" ref="E464">_xlfn.XLOOKUP(A464&amp;B464,Лист2!A:A&amp;Лист2!B:B,Лист2!C:C,0,0)</f>
        <v>17</v>
      </c>
      <c r="F464" s="4" cm="1">
        <f t="array" ref="F464">_xlfn.XLOOKUP(A464&amp;B464,Лист2!A:A&amp;Лист2!B:B,Лист2!D:D,0,0)</f>
        <v>1296</v>
      </c>
      <c r="G464" s="4" cm="1">
        <f t="array" ref="G464">_xlfn.XLOOKUP(A464&amp;B464,Лист2!A:A&amp;Лист2!B:B,Лист2!E:E,0,0)</f>
        <v>1153</v>
      </c>
      <c r="H464" s="27">
        <f t="shared" si="14"/>
        <v>1155.7</v>
      </c>
      <c r="I464">
        <f t="shared" si="15"/>
        <v>22</v>
      </c>
    </row>
    <row r="465" spans="1:9" ht="14.25" customHeight="1" x14ac:dyDescent="0.45">
      <c r="A465" s="9">
        <v>43969</v>
      </c>
      <c r="B465" s="5" t="s">
        <v>19</v>
      </c>
      <c r="C465" s="5">
        <v>12450</v>
      </c>
      <c r="D465" s="5">
        <v>1115146.5</v>
      </c>
      <c r="E465" s="4" cm="1">
        <f t="array" ref="E465">_xlfn.XLOOKUP(A465&amp;B465,Лист2!A:A&amp;Лист2!B:B,Лист2!C:C,0,0)</f>
        <v>15</v>
      </c>
      <c r="F465" s="4" cm="1">
        <f t="array" ref="F465">_xlfn.XLOOKUP(A465&amp;B465,Лист2!A:A&amp;Лист2!B:B,Лист2!D:D,0,0)</f>
        <v>729</v>
      </c>
      <c r="G465" s="4" cm="1">
        <f t="array" ref="G465">_xlfn.XLOOKUP(A465&amp;B465,Лист2!A:A&amp;Лист2!B:B,Лист2!E:E,0,0)</f>
        <v>636</v>
      </c>
      <c r="H465" s="27">
        <f t="shared" si="14"/>
        <v>830</v>
      </c>
      <c r="I465">
        <f t="shared" si="15"/>
        <v>21</v>
      </c>
    </row>
    <row r="466" spans="1:9" ht="14.25" customHeight="1" x14ac:dyDescent="0.45">
      <c r="A466" s="8">
        <v>43965</v>
      </c>
      <c r="B466" s="3" t="s">
        <v>19</v>
      </c>
      <c r="C466" s="3">
        <v>11161.5</v>
      </c>
      <c r="D466" s="3">
        <v>963502.5</v>
      </c>
      <c r="E466" s="4" cm="1">
        <f t="array" ref="E466">_xlfn.XLOOKUP(A466&amp;B466,Лист2!A:A&amp;Лист2!B:B,Лист2!C:C,0,0)</f>
        <v>15</v>
      </c>
      <c r="F466" s="4" cm="1">
        <f t="array" ref="F466">_xlfn.XLOOKUP(A466&amp;B466,Лист2!A:A&amp;Лист2!B:B,Лист2!D:D,0,0)</f>
        <v>638</v>
      </c>
      <c r="G466" s="4" cm="1">
        <f t="array" ref="G466">_xlfn.XLOOKUP(A466&amp;B466,Лист2!A:A&amp;Лист2!B:B,Лист2!E:E,0,0)</f>
        <v>548</v>
      </c>
      <c r="H466" s="27">
        <f t="shared" si="14"/>
        <v>744.1</v>
      </c>
      <c r="I466">
        <f t="shared" si="15"/>
        <v>20</v>
      </c>
    </row>
    <row r="467" spans="1:9" ht="14.25" customHeight="1" x14ac:dyDescent="0.45">
      <c r="A467" s="9">
        <v>43966</v>
      </c>
      <c r="B467" s="5" t="s">
        <v>19</v>
      </c>
      <c r="C467" s="5">
        <v>12229.5</v>
      </c>
      <c r="D467" s="5">
        <v>1122730.5</v>
      </c>
      <c r="E467" s="4" cm="1">
        <f t="array" ref="E467">_xlfn.XLOOKUP(A467&amp;B467,Лист2!A:A&amp;Лист2!B:B,Лист2!C:C,0,0)</f>
        <v>15</v>
      </c>
      <c r="F467" s="4" cm="1">
        <f t="array" ref="F467">_xlfn.XLOOKUP(A467&amp;B467,Лист2!A:A&amp;Лист2!B:B,Лист2!D:D,0,0)</f>
        <v>688</v>
      </c>
      <c r="G467" s="4" cm="1">
        <f t="array" ref="G467">_xlfn.XLOOKUP(A467&amp;B467,Лист2!A:A&amp;Лист2!B:B,Лист2!E:E,0,0)</f>
        <v>598</v>
      </c>
      <c r="H467" s="27">
        <f t="shared" si="14"/>
        <v>815.3</v>
      </c>
      <c r="I467">
        <f t="shared" si="15"/>
        <v>20</v>
      </c>
    </row>
    <row r="468" spans="1:9" ht="14.25" customHeight="1" x14ac:dyDescent="0.45">
      <c r="A468" s="8">
        <v>43978</v>
      </c>
      <c r="B468" s="3" t="s">
        <v>20</v>
      </c>
      <c r="C468" s="3">
        <v>28050</v>
      </c>
      <c r="D468" s="3">
        <v>2458555.5</v>
      </c>
      <c r="E468" s="4" cm="1">
        <f t="array" ref="E468">_xlfn.XLOOKUP(A468&amp;B468,Лист2!A:A&amp;Лист2!B:B,Лист2!C:C,0,0)</f>
        <v>20</v>
      </c>
      <c r="F468" s="4" cm="1">
        <f t="array" ref="F468">_xlfn.XLOOKUP(A468&amp;B468,Лист2!A:A&amp;Лист2!B:B,Лист2!D:D,0,0)</f>
        <v>1873</v>
      </c>
      <c r="G468" s="4" cm="1">
        <f t="array" ref="G468">_xlfn.XLOOKUP(A468&amp;B468,Лист2!A:A&amp;Лист2!B:B,Лист2!E:E,0,0)</f>
        <v>1715</v>
      </c>
      <c r="H468" s="27">
        <f t="shared" si="14"/>
        <v>1402.5</v>
      </c>
      <c r="I468">
        <f t="shared" si="15"/>
        <v>22</v>
      </c>
    </row>
    <row r="469" spans="1:9" ht="14.25" customHeight="1" x14ac:dyDescent="0.45">
      <c r="A469" s="9">
        <v>43973</v>
      </c>
      <c r="B469" s="5" t="s">
        <v>20</v>
      </c>
      <c r="C469" s="5">
        <v>30781.5</v>
      </c>
      <c r="D469" s="5">
        <v>2540715</v>
      </c>
      <c r="E469" s="4" cm="1">
        <f t="array" ref="E469">_xlfn.XLOOKUP(A469&amp;B469,Лист2!A:A&amp;Лист2!B:B,Лист2!C:C,0,0)</f>
        <v>19</v>
      </c>
      <c r="F469" s="4" cm="1">
        <f t="array" ref="F469">_xlfn.XLOOKUP(A469&amp;B469,Лист2!A:A&amp;Лист2!B:B,Лист2!D:D,0,0)</f>
        <v>1859</v>
      </c>
      <c r="G469" s="4" cm="1">
        <f t="array" ref="G469">_xlfn.XLOOKUP(A469&amp;B469,Лист2!A:A&amp;Лист2!B:B,Лист2!E:E,0,0)</f>
        <v>1697</v>
      </c>
      <c r="H469" s="27">
        <f t="shared" si="14"/>
        <v>1620.1</v>
      </c>
      <c r="I469">
        <f t="shared" si="15"/>
        <v>21</v>
      </c>
    </row>
    <row r="470" spans="1:9" ht="14.25" customHeight="1" x14ac:dyDescent="0.45">
      <c r="A470" s="8">
        <v>43983</v>
      </c>
      <c r="B470" s="3" t="s">
        <v>20</v>
      </c>
      <c r="C470" s="3">
        <v>27960</v>
      </c>
      <c r="D470" s="3">
        <v>2538967.5</v>
      </c>
      <c r="E470" s="4" cm="1">
        <f t="array" ref="E470">_xlfn.XLOOKUP(A470&amp;B470,Лист2!A:A&amp;Лист2!B:B,Лист2!C:C,0,0)</f>
        <v>21</v>
      </c>
      <c r="F470" s="4" cm="1">
        <f t="array" ref="F470">_xlfn.XLOOKUP(A470&amp;B470,Лист2!A:A&amp;Лист2!B:B,Лист2!D:D,0,0)</f>
        <v>1879</v>
      </c>
      <c r="G470" s="4" cm="1">
        <f t="array" ref="G470">_xlfn.XLOOKUP(A470&amp;B470,Лист2!A:A&amp;Лист2!B:B,Лист2!E:E,0,0)</f>
        <v>1720</v>
      </c>
      <c r="H470" s="27">
        <f t="shared" si="14"/>
        <v>1331.4</v>
      </c>
      <c r="I470">
        <f t="shared" si="15"/>
        <v>23</v>
      </c>
    </row>
    <row r="471" spans="1:9" ht="14.25" customHeight="1" x14ac:dyDescent="0.45">
      <c r="A471" s="9">
        <v>43962</v>
      </c>
      <c r="B471" s="5" t="s">
        <v>20</v>
      </c>
      <c r="C471" s="5">
        <v>23629.5</v>
      </c>
      <c r="D471" s="5">
        <v>2164365</v>
      </c>
      <c r="E471" s="4" cm="1">
        <f t="array" ref="E471">_xlfn.XLOOKUP(A471&amp;B471,Лист2!A:A&amp;Лист2!B:B,Лист2!C:C,0,0)</f>
        <v>19</v>
      </c>
      <c r="F471" s="4" cm="1">
        <f t="array" ref="F471">_xlfn.XLOOKUP(A471&amp;B471,Лист2!A:A&amp;Лист2!B:B,Лист2!D:D,0,0)</f>
        <v>1527</v>
      </c>
      <c r="G471" s="4" cm="1">
        <f t="array" ref="G471">_xlfn.XLOOKUP(A471&amp;B471,Лист2!A:A&amp;Лист2!B:B,Лист2!E:E,0,0)</f>
        <v>1389</v>
      </c>
      <c r="H471" s="27">
        <f t="shared" si="14"/>
        <v>1243.7</v>
      </c>
      <c r="I471">
        <f t="shared" si="15"/>
        <v>20</v>
      </c>
    </row>
    <row r="472" spans="1:9" ht="14.25" customHeight="1" x14ac:dyDescent="0.45">
      <c r="A472" s="8">
        <v>43980</v>
      </c>
      <c r="B472" s="3" t="s">
        <v>19</v>
      </c>
      <c r="C472" s="3">
        <v>17052</v>
      </c>
      <c r="D472" s="3">
        <v>1549020</v>
      </c>
      <c r="E472" s="4" cm="1">
        <f t="array" ref="E472">_xlfn.XLOOKUP(A472&amp;B472,Лист2!A:A&amp;Лист2!B:B,Лист2!C:C,0,0)</f>
        <v>16</v>
      </c>
      <c r="F472" s="4" cm="1">
        <f t="array" ref="F472">_xlfn.XLOOKUP(A472&amp;B472,Лист2!A:A&amp;Лист2!B:B,Лист2!D:D,0,0)</f>
        <v>981</v>
      </c>
      <c r="G472" s="4" cm="1">
        <f t="array" ref="G472">_xlfn.XLOOKUP(A472&amp;B472,Лист2!A:A&amp;Лист2!B:B,Лист2!E:E,0,0)</f>
        <v>859</v>
      </c>
      <c r="H472" s="27">
        <f t="shared" si="14"/>
        <v>1065.8</v>
      </c>
      <c r="I472">
        <f t="shared" si="15"/>
        <v>22</v>
      </c>
    </row>
    <row r="473" spans="1:9" ht="14.25" customHeight="1" x14ac:dyDescent="0.45">
      <c r="A473" s="9">
        <v>43969</v>
      </c>
      <c r="B473" s="5" t="s">
        <v>20</v>
      </c>
      <c r="C473" s="5">
        <v>27181.5</v>
      </c>
      <c r="D473" s="5">
        <v>2324490</v>
      </c>
      <c r="E473" s="4" cm="1">
        <f t="array" ref="E473">_xlfn.XLOOKUP(A473&amp;B473,Лист2!A:A&amp;Лист2!B:B,Лист2!C:C,0,0)</f>
        <v>19</v>
      </c>
      <c r="F473" s="4" cm="1">
        <f t="array" ref="F473">_xlfn.XLOOKUP(A473&amp;B473,Лист2!A:A&amp;Лист2!B:B,Лист2!D:D,0,0)</f>
        <v>1741</v>
      </c>
      <c r="G473" s="4" cm="1">
        <f t="array" ref="G473">_xlfn.XLOOKUP(A473&amp;B473,Лист2!A:A&amp;Лист2!B:B,Лист2!E:E,0,0)</f>
        <v>1597</v>
      </c>
      <c r="H473" s="27">
        <f t="shared" si="14"/>
        <v>1430.6</v>
      </c>
      <c r="I473">
        <f t="shared" si="15"/>
        <v>21</v>
      </c>
    </row>
    <row r="474" spans="1:9" ht="14.25" customHeight="1" x14ac:dyDescent="0.45">
      <c r="A474" s="8">
        <v>43965</v>
      </c>
      <c r="B474" s="3" t="s">
        <v>20</v>
      </c>
      <c r="C474" s="3">
        <v>25656</v>
      </c>
      <c r="D474" s="3">
        <v>2225341.5</v>
      </c>
      <c r="E474" s="4" cm="1">
        <f t="array" ref="E474">_xlfn.XLOOKUP(A474&amp;B474,Лист2!A:A&amp;Лист2!B:B,Лист2!C:C,0,0)</f>
        <v>19</v>
      </c>
      <c r="F474" s="4" cm="1">
        <f t="array" ref="F474">_xlfn.XLOOKUP(A474&amp;B474,Лист2!A:A&amp;Лист2!B:B,Лист2!D:D,0,0)</f>
        <v>1635</v>
      </c>
      <c r="G474" s="4" cm="1">
        <f t="array" ref="G474">_xlfn.XLOOKUP(A474&amp;B474,Лист2!A:A&amp;Лист2!B:B,Лист2!E:E,0,0)</f>
        <v>1487</v>
      </c>
      <c r="H474" s="27">
        <f t="shared" si="14"/>
        <v>1350.3</v>
      </c>
      <c r="I474">
        <f t="shared" si="15"/>
        <v>20</v>
      </c>
    </row>
    <row r="475" spans="1:9" ht="14.25" customHeight="1" x14ac:dyDescent="0.45">
      <c r="A475" s="9">
        <v>43966</v>
      </c>
      <c r="B475" s="5" t="s">
        <v>20</v>
      </c>
      <c r="C475" s="5">
        <v>29283</v>
      </c>
      <c r="D475" s="5">
        <v>2477487</v>
      </c>
      <c r="E475" s="4" cm="1">
        <f t="array" ref="E475">_xlfn.XLOOKUP(A475&amp;B475,Лист2!A:A&amp;Лист2!B:B,Лист2!C:C,0,0)</f>
        <v>19</v>
      </c>
      <c r="F475" s="4" cm="1">
        <f t="array" ref="F475">_xlfn.XLOOKUP(A475&amp;B475,Лист2!A:A&amp;Лист2!B:B,Лист2!D:D,0,0)</f>
        <v>1780</v>
      </c>
      <c r="G475" s="4" cm="1">
        <f t="array" ref="G475">_xlfn.XLOOKUP(A475&amp;B475,Лист2!A:A&amp;Лист2!B:B,Лист2!E:E,0,0)</f>
        <v>1615</v>
      </c>
      <c r="H475" s="27">
        <f t="shared" si="14"/>
        <v>1541.2</v>
      </c>
      <c r="I475">
        <f t="shared" si="15"/>
        <v>20</v>
      </c>
    </row>
    <row r="476" spans="1:9" ht="14.25" customHeight="1" x14ac:dyDescent="0.45">
      <c r="A476" s="8">
        <v>43980</v>
      </c>
      <c r="B476" s="3" t="s">
        <v>20</v>
      </c>
      <c r="C476" s="3">
        <v>32782.5</v>
      </c>
      <c r="D476" s="3">
        <v>2854741.5</v>
      </c>
      <c r="E476" s="4" cm="1">
        <f t="array" ref="E476">_xlfn.XLOOKUP(A476&amp;B476,Лист2!A:A&amp;Лист2!B:B,Лист2!C:C,0,0)</f>
        <v>20</v>
      </c>
      <c r="F476" s="4" cm="1">
        <f t="array" ref="F476">_xlfn.XLOOKUP(A476&amp;B476,Лист2!A:A&amp;Лист2!B:B,Лист2!D:D,0,0)</f>
        <v>2064</v>
      </c>
      <c r="G476" s="4" cm="1">
        <f t="array" ref="G476">_xlfn.XLOOKUP(A476&amp;B476,Лист2!A:A&amp;Лист2!B:B,Лист2!E:E,0,0)</f>
        <v>1896</v>
      </c>
      <c r="H476" s="27">
        <f t="shared" si="14"/>
        <v>1639.1</v>
      </c>
      <c r="I476">
        <f t="shared" si="15"/>
        <v>22</v>
      </c>
    </row>
    <row r="477" spans="1:9" ht="14.25" customHeight="1" x14ac:dyDescent="0.45">
      <c r="A477" s="9">
        <v>43978</v>
      </c>
      <c r="B477" s="5" t="s">
        <v>21</v>
      </c>
      <c r="C477" s="5">
        <v>215592</v>
      </c>
      <c r="D477" s="5">
        <v>22342300.5</v>
      </c>
      <c r="E477" s="4" cm="1">
        <f t="array" ref="E477">_xlfn.XLOOKUP(A477&amp;B477,Лист2!A:A&amp;Лист2!B:B,Лист2!C:C,0,0)</f>
        <v>59</v>
      </c>
      <c r="F477" s="4" cm="1">
        <f t="array" ref="F477">_xlfn.XLOOKUP(A477&amp;B477,Лист2!A:A&amp;Лист2!B:B,Лист2!D:D,0,0)</f>
        <v>13942</v>
      </c>
      <c r="G477" s="4" cm="1">
        <f t="array" ref="G477">_xlfn.XLOOKUP(A477&amp;B477,Лист2!A:A&amp;Лист2!B:B,Лист2!E:E,0,0)</f>
        <v>12986</v>
      </c>
      <c r="H477" s="27">
        <f t="shared" si="14"/>
        <v>3654.1</v>
      </c>
      <c r="I477">
        <f t="shared" si="15"/>
        <v>22</v>
      </c>
    </row>
    <row r="478" spans="1:9" ht="14.25" customHeight="1" x14ac:dyDescent="0.45">
      <c r="A478" s="8">
        <v>43973</v>
      </c>
      <c r="B478" s="3" t="s">
        <v>21</v>
      </c>
      <c r="C478" s="3">
        <v>228334.5</v>
      </c>
      <c r="D478" s="3">
        <v>22380772.5</v>
      </c>
      <c r="E478" s="4" cm="1">
        <f t="array" ref="E478">_xlfn.XLOOKUP(A478&amp;B478,Лист2!A:A&amp;Лист2!B:B,Лист2!C:C,0,0)</f>
        <v>60</v>
      </c>
      <c r="F478" s="4" cm="1">
        <f t="array" ref="F478">_xlfn.XLOOKUP(A478&amp;B478,Лист2!A:A&amp;Лист2!B:B,Лист2!D:D,0,0)</f>
        <v>14050</v>
      </c>
      <c r="G478" s="4" cm="1">
        <f t="array" ref="G478">_xlfn.XLOOKUP(A478&amp;B478,Лист2!A:A&amp;Лист2!B:B,Лист2!E:E,0,0)</f>
        <v>13027</v>
      </c>
      <c r="H478" s="27">
        <f t="shared" si="14"/>
        <v>3805.6</v>
      </c>
      <c r="I478">
        <f t="shared" si="15"/>
        <v>21</v>
      </c>
    </row>
    <row r="479" spans="1:9" ht="14.25" customHeight="1" x14ac:dyDescent="0.45">
      <c r="A479" s="9">
        <v>43983</v>
      </c>
      <c r="B479" s="5" t="s">
        <v>21</v>
      </c>
      <c r="C479" s="5">
        <v>188776.5</v>
      </c>
      <c r="D479" s="5">
        <v>19465372.5</v>
      </c>
      <c r="E479" s="4" cm="1">
        <f t="array" ref="E479">_xlfn.XLOOKUP(A479&amp;B479,Лист2!A:A&amp;Лист2!B:B,Лист2!C:C,0,0)</f>
        <v>59</v>
      </c>
      <c r="F479" s="4" cm="1">
        <f t="array" ref="F479">_xlfn.XLOOKUP(A479&amp;B479,Лист2!A:A&amp;Лист2!B:B,Лист2!D:D,0,0)</f>
        <v>12299</v>
      </c>
      <c r="G479" s="4" cm="1">
        <f t="array" ref="G479">_xlfn.XLOOKUP(A479&amp;B479,Лист2!A:A&amp;Лист2!B:B,Лист2!E:E,0,0)</f>
        <v>11448</v>
      </c>
      <c r="H479" s="27">
        <f t="shared" si="14"/>
        <v>3199.6</v>
      </c>
      <c r="I479">
        <f t="shared" si="15"/>
        <v>23</v>
      </c>
    </row>
    <row r="480" spans="1:9" ht="14.25" customHeight="1" x14ac:dyDescent="0.45">
      <c r="A480" s="8">
        <v>43962</v>
      </c>
      <c r="B480" s="3" t="s">
        <v>21</v>
      </c>
      <c r="C480" s="3">
        <v>175293</v>
      </c>
      <c r="D480" s="3">
        <v>17919144</v>
      </c>
      <c r="E480" s="4" cm="1">
        <f t="array" ref="E480">_xlfn.XLOOKUP(A480&amp;B480,Лист2!A:A&amp;Лист2!B:B,Лист2!C:C,0,0)</f>
        <v>60</v>
      </c>
      <c r="F480" s="4" cm="1">
        <f t="array" ref="F480">_xlfn.XLOOKUP(A480&amp;B480,Лист2!A:A&amp;Лист2!B:B,Лист2!D:D,0,0)</f>
        <v>11100</v>
      </c>
      <c r="G480" s="4" cm="1">
        <f t="array" ref="G480">_xlfn.XLOOKUP(A480&amp;B480,Лист2!A:A&amp;Лист2!B:B,Лист2!E:E,0,0)</f>
        <v>10407</v>
      </c>
      <c r="H480" s="27">
        <f t="shared" si="14"/>
        <v>2921.6</v>
      </c>
      <c r="I480">
        <f t="shared" si="15"/>
        <v>20</v>
      </c>
    </row>
    <row r="481" spans="1:9" ht="14.25" customHeight="1" x14ac:dyDescent="0.45">
      <c r="A481" s="9">
        <v>43969</v>
      </c>
      <c r="B481" s="5" t="s">
        <v>21</v>
      </c>
      <c r="C481" s="5">
        <v>201999</v>
      </c>
      <c r="D481" s="5">
        <v>20422435.5</v>
      </c>
      <c r="E481" s="4" cm="1">
        <f t="array" ref="E481">_xlfn.XLOOKUP(A481&amp;B481,Лист2!A:A&amp;Лист2!B:B,Лист2!C:C,0,0)</f>
        <v>60</v>
      </c>
      <c r="F481" s="4" cm="1">
        <f t="array" ref="F481">_xlfn.XLOOKUP(A481&amp;B481,Лист2!A:A&amp;Лист2!B:B,Лист2!D:D,0,0)</f>
        <v>12460</v>
      </c>
      <c r="G481" s="4" cm="1">
        <f t="array" ref="G481">_xlfn.XLOOKUP(A481&amp;B481,Лист2!A:A&amp;Лист2!B:B,Лист2!E:E,0,0)</f>
        <v>11665</v>
      </c>
      <c r="H481" s="27">
        <f t="shared" si="14"/>
        <v>3366.7</v>
      </c>
      <c r="I481">
        <f t="shared" si="15"/>
        <v>21</v>
      </c>
    </row>
    <row r="482" spans="1:9" ht="14.25" customHeight="1" x14ac:dyDescent="0.45">
      <c r="A482" s="8">
        <v>43965</v>
      </c>
      <c r="B482" s="3" t="s">
        <v>21</v>
      </c>
      <c r="C482" s="3">
        <v>197946</v>
      </c>
      <c r="D482" s="3">
        <v>19942435.5</v>
      </c>
      <c r="E482" s="4" cm="1">
        <f t="array" ref="E482">_xlfn.XLOOKUP(A482&amp;B482,Лист2!A:A&amp;Лист2!B:B,Лист2!C:C,0,0)</f>
        <v>60</v>
      </c>
      <c r="F482" s="4" cm="1">
        <f t="array" ref="F482">_xlfn.XLOOKUP(A482&amp;B482,Лист2!A:A&amp;Лист2!B:B,Лист2!D:D,0,0)</f>
        <v>11935</v>
      </c>
      <c r="G482" s="4" cm="1">
        <f t="array" ref="G482">_xlfn.XLOOKUP(A482&amp;B482,Лист2!A:A&amp;Лист2!B:B,Лист2!E:E,0,0)</f>
        <v>11178</v>
      </c>
      <c r="H482" s="27">
        <f t="shared" si="14"/>
        <v>3299.1</v>
      </c>
      <c r="I482">
        <f t="shared" si="15"/>
        <v>20</v>
      </c>
    </row>
    <row r="483" spans="1:9" ht="14.25" customHeight="1" x14ac:dyDescent="0.45">
      <c r="A483" s="9">
        <v>43966</v>
      </c>
      <c r="B483" s="5" t="s">
        <v>21</v>
      </c>
      <c r="C483" s="5">
        <v>230896.5</v>
      </c>
      <c r="D483" s="5">
        <v>23085222</v>
      </c>
      <c r="E483" s="4" cm="1">
        <f t="array" ref="E483">_xlfn.XLOOKUP(A483&amp;B483,Лист2!A:A&amp;Лист2!B:B,Лист2!C:C,0,0)</f>
        <v>60</v>
      </c>
      <c r="F483" s="4" cm="1">
        <f t="array" ref="F483">_xlfn.XLOOKUP(A483&amp;B483,Лист2!A:A&amp;Лист2!B:B,Лист2!D:D,0,0)</f>
        <v>13544</v>
      </c>
      <c r="G483" s="4" cm="1">
        <f t="array" ref="G483">_xlfn.XLOOKUP(A483&amp;B483,Лист2!A:A&amp;Лист2!B:B,Лист2!E:E,0,0)</f>
        <v>12643</v>
      </c>
      <c r="H483" s="27">
        <f t="shared" si="14"/>
        <v>3848.3</v>
      </c>
      <c r="I483">
        <f t="shared" si="15"/>
        <v>20</v>
      </c>
    </row>
    <row r="484" spans="1:9" ht="14.25" customHeight="1" x14ac:dyDescent="0.45">
      <c r="A484" s="8">
        <v>43978</v>
      </c>
      <c r="B484" s="3" t="s">
        <v>22</v>
      </c>
      <c r="C484" s="3">
        <v>203532</v>
      </c>
      <c r="D484" s="3">
        <v>20953324.5</v>
      </c>
      <c r="E484" s="4" cm="1">
        <f t="array" ref="E484">_xlfn.XLOOKUP(A484&amp;B484,Лист2!A:A&amp;Лист2!B:B,Лист2!C:C,0,0)</f>
        <v>54</v>
      </c>
      <c r="F484" s="4" cm="1">
        <f t="array" ref="F484">_xlfn.XLOOKUP(A484&amp;B484,Лист2!A:A&amp;Лист2!B:B,Лист2!D:D,0,0)</f>
        <v>13091</v>
      </c>
      <c r="G484" s="4" cm="1">
        <f t="array" ref="G484">_xlfn.XLOOKUP(A484&amp;B484,Лист2!A:A&amp;Лист2!B:B,Лист2!E:E,0,0)</f>
        <v>12216</v>
      </c>
      <c r="H484" s="27">
        <f t="shared" si="14"/>
        <v>3769.1</v>
      </c>
      <c r="I484">
        <f t="shared" si="15"/>
        <v>22</v>
      </c>
    </row>
    <row r="485" spans="1:9" ht="14.25" customHeight="1" x14ac:dyDescent="0.45">
      <c r="A485" s="9">
        <v>43973</v>
      </c>
      <c r="B485" s="5" t="s">
        <v>22</v>
      </c>
      <c r="C485" s="5">
        <v>214428</v>
      </c>
      <c r="D485" s="5">
        <v>20812585.5</v>
      </c>
      <c r="E485" s="4" cm="1">
        <f t="array" ref="E485">_xlfn.XLOOKUP(A485&amp;B485,Лист2!A:A&amp;Лист2!B:B,Лист2!C:C,0,0)</f>
        <v>54</v>
      </c>
      <c r="F485" s="4" cm="1">
        <f t="array" ref="F485">_xlfn.XLOOKUP(A485&amp;B485,Лист2!A:A&amp;Лист2!B:B,Лист2!D:D,0,0)</f>
        <v>13014</v>
      </c>
      <c r="G485" s="4" cm="1">
        <f t="array" ref="G485">_xlfn.XLOOKUP(A485&amp;B485,Лист2!A:A&amp;Лист2!B:B,Лист2!E:E,0,0)</f>
        <v>12095</v>
      </c>
      <c r="H485" s="27">
        <f t="shared" si="14"/>
        <v>3970.9</v>
      </c>
      <c r="I485">
        <f t="shared" si="15"/>
        <v>21</v>
      </c>
    </row>
    <row r="486" spans="1:9" ht="14.25" customHeight="1" x14ac:dyDescent="0.45">
      <c r="A486" s="8">
        <v>43983</v>
      </c>
      <c r="B486" s="3" t="s">
        <v>22</v>
      </c>
      <c r="C486" s="3">
        <v>183228</v>
      </c>
      <c r="D486" s="3">
        <v>18914194.5</v>
      </c>
      <c r="E486" s="4" cm="1">
        <f t="array" ref="E486">_xlfn.XLOOKUP(A486&amp;B486,Лист2!A:A&amp;Лист2!B:B,Лист2!C:C,0,0)</f>
        <v>54</v>
      </c>
      <c r="F486" s="4" cm="1">
        <f t="array" ref="F486">_xlfn.XLOOKUP(A486&amp;B486,Лист2!A:A&amp;Лист2!B:B,Лист2!D:D,0,0)</f>
        <v>11864</v>
      </c>
      <c r="G486" s="4" cm="1">
        <f t="array" ref="G486">_xlfn.XLOOKUP(A486&amp;B486,Лист2!A:A&amp;Лист2!B:B,Лист2!E:E,0,0)</f>
        <v>11071</v>
      </c>
      <c r="H486" s="27">
        <f t="shared" si="14"/>
        <v>3393.1</v>
      </c>
      <c r="I486">
        <f t="shared" si="15"/>
        <v>23</v>
      </c>
    </row>
    <row r="487" spans="1:9" ht="14.25" customHeight="1" x14ac:dyDescent="0.45">
      <c r="A487" s="9">
        <v>43962</v>
      </c>
      <c r="B487" s="5" t="s">
        <v>22</v>
      </c>
      <c r="C487" s="5">
        <v>166948.5</v>
      </c>
      <c r="D487" s="5">
        <v>16971231</v>
      </c>
      <c r="E487" s="4" cm="1">
        <f t="array" ref="E487">_xlfn.XLOOKUP(A487&amp;B487,Лист2!A:A&amp;Лист2!B:B,Лист2!C:C,0,0)</f>
        <v>54</v>
      </c>
      <c r="F487" s="4" cm="1">
        <f t="array" ref="F487">_xlfn.XLOOKUP(A487&amp;B487,Лист2!A:A&amp;Лист2!B:B,Лист2!D:D,0,0)</f>
        <v>10570</v>
      </c>
      <c r="G487" s="4" cm="1">
        <f t="array" ref="G487">_xlfn.XLOOKUP(A487&amp;B487,Лист2!A:A&amp;Лист2!B:B,Лист2!E:E,0,0)</f>
        <v>9926</v>
      </c>
      <c r="H487" s="27">
        <f t="shared" si="14"/>
        <v>3091.6</v>
      </c>
      <c r="I487">
        <f t="shared" si="15"/>
        <v>20</v>
      </c>
    </row>
    <row r="488" spans="1:9" ht="14.25" customHeight="1" x14ac:dyDescent="0.45">
      <c r="A488" s="8">
        <v>43980</v>
      </c>
      <c r="B488" s="3" t="s">
        <v>21</v>
      </c>
      <c r="C488" s="3">
        <v>232102.5</v>
      </c>
      <c r="D488" s="3">
        <v>23120443.5</v>
      </c>
      <c r="E488" s="4" cm="1">
        <f t="array" ref="E488">_xlfn.XLOOKUP(A488&amp;B488,Лист2!A:A&amp;Лист2!B:B,Лист2!C:C,0,0)</f>
        <v>59</v>
      </c>
      <c r="F488" s="4" cm="1">
        <f t="array" ref="F488">_xlfn.XLOOKUP(A488&amp;B488,Лист2!A:A&amp;Лист2!B:B,Лист2!D:D,0,0)</f>
        <v>14507</v>
      </c>
      <c r="G488" s="4" cm="1">
        <f t="array" ref="G488">_xlfn.XLOOKUP(A488&amp;B488,Лист2!A:A&amp;Лист2!B:B,Лист2!E:E,0,0)</f>
        <v>13386</v>
      </c>
      <c r="H488" s="27">
        <f t="shared" si="14"/>
        <v>3933.9</v>
      </c>
      <c r="I488">
        <f t="shared" si="15"/>
        <v>22</v>
      </c>
    </row>
    <row r="489" spans="1:9" ht="14.25" customHeight="1" x14ac:dyDescent="0.45">
      <c r="A489" s="9">
        <v>43969</v>
      </c>
      <c r="B489" s="5" t="s">
        <v>22</v>
      </c>
      <c r="C489" s="5">
        <v>196560</v>
      </c>
      <c r="D489" s="5">
        <v>19855122</v>
      </c>
      <c r="E489" s="4" cm="1">
        <f t="array" ref="E489">_xlfn.XLOOKUP(A489&amp;B489,Лист2!A:A&amp;Лист2!B:B,Лист2!C:C,0,0)</f>
        <v>54</v>
      </c>
      <c r="F489" s="4" cm="1">
        <f t="array" ref="F489">_xlfn.XLOOKUP(A489&amp;B489,Лист2!A:A&amp;Лист2!B:B,Лист2!D:D,0,0)</f>
        <v>12012</v>
      </c>
      <c r="G489" s="4" cm="1">
        <f t="array" ref="G489">_xlfn.XLOOKUP(A489&amp;B489,Лист2!A:A&amp;Лист2!B:B,Лист2!E:E,0,0)</f>
        <v>11308</v>
      </c>
      <c r="H489" s="27">
        <f t="shared" si="14"/>
        <v>3640</v>
      </c>
      <c r="I489">
        <f t="shared" si="15"/>
        <v>21</v>
      </c>
    </row>
    <row r="490" spans="1:9" ht="14.25" customHeight="1" x14ac:dyDescent="0.45">
      <c r="A490" s="8">
        <v>43965</v>
      </c>
      <c r="B490" s="3" t="s">
        <v>22</v>
      </c>
      <c r="C490" s="3">
        <v>186496.5</v>
      </c>
      <c r="D490" s="3">
        <v>18640998</v>
      </c>
      <c r="E490" s="4" cm="1">
        <f t="array" ref="E490">_xlfn.XLOOKUP(A490&amp;B490,Лист2!A:A&amp;Лист2!B:B,Лист2!C:C,0,0)</f>
        <v>54</v>
      </c>
      <c r="F490" s="4" cm="1">
        <f t="array" ref="F490">_xlfn.XLOOKUP(A490&amp;B490,Лист2!A:A&amp;Лист2!B:B,Лист2!D:D,0,0)</f>
        <v>11194</v>
      </c>
      <c r="G490" s="4" cm="1">
        <f t="array" ref="G490">_xlfn.XLOOKUP(A490&amp;B490,Лист2!A:A&amp;Лист2!B:B,Лист2!E:E,0,0)</f>
        <v>10554</v>
      </c>
      <c r="H490" s="27">
        <f t="shared" si="14"/>
        <v>3453.6</v>
      </c>
      <c r="I490">
        <f t="shared" si="15"/>
        <v>20</v>
      </c>
    </row>
    <row r="491" spans="1:9" ht="14.25" customHeight="1" x14ac:dyDescent="0.45">
      <c r="A491" s="9">
        <v>43966</v>
      </c>
      <c r="B491" s="5" t="s">
        <v>22</v>
      </c>
      <c r="C491" s="5">
        <v>219772.5</v>
      </c>
      <c r="D491" s="5">
        <v>21895294.5</v>
      </c>
      <c r="E491" s="4" cm="1">
        <f t="array" ref="E491">_xlfn.XLOOKUP(A491&amp;B491,Лист2!A:A&amp;Лист2!B:B,Лист2!C:C,0,0)</f>
        <v>54</v>
      </c>
      <c r="F491" s="4" cm="1">
        <f t="array" ref="F491">_xlfn.XLOOKUP(A491&amp;B491,Лист2!A:A&amp;Лист2!B:B,Лист2!D:D,0,0)</f>
        <v>12791</v>
      </c>
      <c r="G491" s="4" cm="1">
        <f t="array" ref="G491">_xlfn.XLOOKUP(A491&amp;B491,Лист2!A:A&amp;Лист2!B:B,Лист2!E:E,0,0)</f>
        <v>11950</v>
      </c>
      <c r="H491" s="27">
        <f t="shared" si="14"/>
        <v>4069.9</v>
      </c>
      <c r="I491">
        <f t="shared" si="15"/>
        <v>20</v>
      </c>
    </row>
    <row r="492" spans="1:9" ht="14.25" customHeight="1" x14ac:dyDescent="0.45">
      <c r="A492" s="8">
        <v>43980</v>
      </c>
      <c r="B492" s="3" t="s">
        <v>22</v>
      </c>
      <c r="C492" s="3">
        <v>226476</v>
      </c>
      <c r="D492" s="3">
        <v>22416151.5</v>
      </c>
      <c r="E492" s="4" cm="1">
        <f t="array" ref="E492">_xlfn.XLOOKUP(A492&amp;B492,Лист2!A:A&amp;Лист2!B:B,Лист2!C:C,0,0)</f>
        <v>54</v>
      </c>
      <c r="F492" s="4" cm="1">
        <f t="array" ref="F492">_xlfn.XLOOKUP(A492&amp;B492,Лист2!A:A&amp;Лист2!B:B,Лист2!D:D,0,0)</f>
        <v>14031</v>
      </c>
      <c r="G492" s="4" cm="1">
        <f t="array" ref="G492">_xlfn.XLOOKUP(A492&amp;B492,Лист2!A:A&amp;Лист2!B:B,Лист2!E:E,0,0)</f>
        <v>12943</v>
      </c>
      <c r="H492" s="27">
        <f t="shared" si="14"/>
        <v>4194</v>
      </c>
      <c r="I492">
        <f t="shared" si="15"/>
        <v>22</v>
      </c>
    </row>
    <row r="493" spans="1:9" ht="14.25" customHeight="1" x14ac:dyDescent="0.45">
      <c r="A493" s="9">
        <v>43978</v>
      </c>
      <c r="B493" s="5" t="s">
        <v>24</v>
      </c>
      <c r="C493" s="5">
        <v>8362.5</v>
      </c>
      <c r="D493" s="5">
        <v>687684</v>
      </c>
      <c r="E493" s="4" cm="1">
        <f t="array" ref="E493">_xlfn.XLOOKUP(A493&amp;B493,Лист2!A:A&amp;Лист2!B:B,Лист2!C:C,0,0)</f>
        <v>7</v>
      </c>
      <c r="F493" s="4" cm="1">
        <f t="array" ref="F493">_xlfn.XLOOKUP(A493&amp;B493,Лист2!A:A&amp;Лист2!B:B,Лист2!D:D,0,0)</f>
        <v>409</v>
      </c>
      <c r="G493" s="4" cm="1">
        <f t="array" ref="G493">_xlfn.XLOOKUP(A493&amp;B493,Лист2!A:A&amp;Лист2!B:B,Лист2!E:E,0,0)</f>
        <v>329</v>
      </c>
      <c r="H493" s="27">
        <f t="shared" si="14"/>
        <v>1194.5999999999999</v>
      </c>
      <c r="I493">
        <f t="shared" si="15"/>
        <v>22</v>
      </c>
    </row>
    <row r="494" spans="1:9" ht="14.25" customHeight="1" x14ac:dyDescent="0.45">
      <c r="A494" s="8">
        <v>43973</v>
      </c>
      <c r="B494" s="3" t="s">
        <v>23</v>
      </c>
      <c r="C494" s="3">
        <v>17008.5</v>
      </c>
      <c r="D494" s="3">
        <v>1398771</v>
      </c>
      <c r="E494" s="4" cm="1">
        <f t="array" ref="E494">_xlfn.XLOOKUP(A494&amp;B494,Лист2!A:A&amp;Лист2!B:B,Лист2!C:C,0,0)</f>
        <v>18</v>
      </c>
      <c r="F494" s="4" cm="1">
        <f t="array" ref="F494">_xlfn.XLOOKUP(A494&amp;B494,Лист2!A:A&amp;Лист2!B:B,Лист2!D:D,0,0)</f>
        <v>985</v>
      </c>
      <c r="G494" s="4" cm="1">
        <f t="array" ref="G494">_xlfn.XLOOKUP(A494&amp;B494,Лист2!A:A&amp;Лист2!B:B,Лист2!E:E,0,0)</f>
        <v>861</v>
      </c>
      <c r="H494" s="27">
        <f t="shared" si="14"/>
        <v>944.9</v>
      </c>
      <c r="I494">
        <f t="shared" si="15"/>
        <v>21</v>
      </c>
    </row>
    <row r="495" spans="1:9" ht="14.25" customHeight="1" x14ac:dyDescent="0.45">
      <c r="A495" s="9">
        <v>43983</v>
      </c>
      <c r="B495" s="5" t="s">
        <v>25</v>
      </c>
      <c r="C495" s="5">
        <v>5166</v>
      </c>
      <c r="D495" s="5">
        <v>389013</v>
      </c>
      <c r="E495" s="4" cm="1">
        <f t="array" ref="E495">_xlfn.XLOOKUP(A495&amp;B495,Лист2!A:A&amp;Лист2!B:B,Лист2!C:C,0,0)</f>
        <v>9</v>
      </c>
      <c r="F495" s="4" cm="1">
        <f t="array" ref="F495">_xlfn.XLOOKUP(A495&amp;B495,Лист2!A:A&amp;Лист2!B:B,Лист2!D:D,0,0)</f>
        <v>294</v>
      </c>
      <c r="G495" s="4" cm="1">
        <f t="array" ref="G495">_xlfn.XLOOKUP(A495&amp;B495,Лист2!A:A&amp;Лист2!B:B,Лист2!E:E,0,0)</f>
        <v>224</v>
      </c>
      <c r="H495" s="27">
        <f t="shared" si="14"/>
        <v>574</v>
      </c>
      <c r="I495">
        <f t="shared" si="15"/>
        <v>23</v>
      </c>
    </row>
    <row r="496" spans="1:9" ht="14.25" customHeight="1" x14ac:dyDescent="0.45">
      <c r="A496" s="8">
        <v>43962</v>
      </c>
      <c r="B496" s="3" t="s">
        <v>23</v>
      </c>
      <c r="C496" s="3">
        <v>10941</v>
      </c>
      <c r="D496" s="3">
        <v>880356</v>
      </c>
      <c r="E496" s="4" cm="1">
        <f t="array" ref="E496">_xlfn.XLOOKUP(A496&amp;B496,Лист2!A:A&amp;Лист2!B:B,Лист2!C:C,0,0)</f>
        <v>15</v>
      </c>
      <c r="F496" s="4" cm="1">
        <f t="array" ref="F496">_xlfn.XLOOKUP(A496&amp;B496,Лист2!A:A&amp;Лист2!B:B,Лист2!D:D,0,0)</f>
        <v>654</v>
      </c>
      <c r="G496" s="4" cm="1">
        <f t="array" ref="G496">_xlfn.XLOOKUP(A496&amp;B496,Лист2!A:A&amp;Лист2!B:B,Лист2!E:E,0,0)</f>
        <v>564</v>
      </c>
      <c r="H496" s="27">
        <f t="shared" si="14"/>
        <v>729.4</v>
      </c>
      <c r="I496">
        <f t="shared" si="15"/>
        <v>20</v>
      </c>
    </row>
    <row r="497" spans="1:9" ht="14.25" customHeight="1" x14ac:dyDescent="0.45">
      <c r="A497" s="9">
        <v>43969</v>
      </c>
      <c r="B497" s="5" t="s">
        <v>23</v>
      </c>
      <c r="C497" s="5">
        <v>14497.5</v>
      </c>
      <c r="D497" s="5">
        <v>1230711</v>
      </c>
      <c r="E497" s="4" cm="1">
        <f t="array" ref="E497">_xlfn.XLOOKUP(A497&amp;B497,Лист2!A:A&amp;Лист2!B:B,Лист2!C:C,0,0)</f>
        <v>16</v>
      </c>
      <c r="F497" s="4" cm="1">
        <f t="array" ref="F497">_xlfn.XLOOKUP(A497&amp;B497,Лист2!A:A&amp;Лист2!B:B,Лист2!D:D,0,0)</f>
        <v>864</v>
      </c>
      <c r="G497" s="4" cm="1">
        <f t="array" ref="G497">_xlfn.XLOOKUP(A497&amp;B497,Лист2!A:A&amp;Лист2!B:B,Лист2!E:E,0,0)</f>
        <v>765</v>
      </c>
      <c r="H497" s="27">
        <f t="shared" si="14"/>
        <v>906.1</v>
      </c>
      <c r="I497">
        <f t="shared" si="15"/>
        <v>21</v>
      </c>
    </row>
    <row r="498" spans="1:9" ht="14.25" customHeight="1" x14ac:dyDescent="0.45">
      <c r="A498" s="8">
        <v>43965</v>
      </c>
      <c r="B498" s="3" t="s">
        <v>23</v>
      </c>
      <c r="C498" s="3">
        <v>13810.5</v>
      </c>
      <c r="D498" s="3">
        <v>1131676.5</v>
      </c>
      <c r="E498" s="4" cm="1">
        <f t="array" ref="E498">_xlfn.XLOOKUP(A498&amp;B498,Лист2!A:A&amp;Лист2!B:B,Лист2!C:C,0,0)</f>
        <v>16</v>
      </c>
      <c r="F498" s="4" cm="1">
        <f t="array" ref="F498">_xlfn.XLOOKUP(A498&amp;B498,Лист2!A:A&amp;Лист2!B:B,Лист2!D:D,0,0)</f>
        <v>834</v>
      </c>
      <c r="G498" s="4" cm="1">
        <f t="array" ref="G498">_xlfn.XLOOKUP(A498&amp;B498,Лист2!A:A&amp;Лист2!B:B,Лист2!E:E,0,0)</f>
        <v>735</v>
      </c>
      <c r="H498" s="27">
        <f t="shared" si="14"/>
        <v>863.2</v>
      </c>
      <c r="I498">
        <f t="shared" si="15"/>
        <v>20</v>
      </c>
    </row>
    <row r="499" spans="1:9" ht="14.25" customHeight="1" x14ac:dyDescent="0.45">
      <c r="A499" s="9">
        <v>43966</v>
      </c>
      <c r="B499" s="5" t="s">
        <v>23</v>
      </c>
      <c r="C499" s="5">
        <v>13752</v>
      </c>
      <c r="D499" s="5">
        <v>1091040</v>
      </c>
      <c r="E499" s="4" cm="1">
        <f t="array" ref="E499">_xlfn.XLOOKUP(A499&amp;B499,Лист2!A:A&amp;Лист2!B:B,Лист2!C:C,0,0)</f>
        <v>16</v>
      </c>
      <c r="F499" s="4" cm="1">
        <f t="array" ref="F499">_xlfn.XLOOKUP(A499&amp;B499,Лист2!A:A&amp;Лист2!B:B,Лист2!D:D,0,0)</f>
        <v>817</v>
      </c>
      <c r="G499" s="4" cm="1">
        <f t="array" ref="G499">_xlfn.XLOOKUP(A499&amp;B499,Лист2!A:A&amp;Лист2!B:B,Лист2!E:E,0,0)</f>
        <v>718</v>
      </c>
      <c r="H499" s="27">
        <f t="shared" si="14"/>
        <v>859.5</v>
      </c>
      <c r="I499">
        <f t="shared" si="15"/>
        <v>20</v>
      </c>
    </row>
    <row r="500" spans="1:9" ht="14.25" customHeight="1" x14ac:dyDescent="0.45">
      <c r="A500" s="8">
        <v>43978</v>
      </c>
      <c r="B500" s="3" t="s">
        <v>23</v>
      </c>
      <c r="C500" s="3">
        <v>15276</v>
      </c>
      <c r="D500" s="3">
        <v>1350199.5</v>
      </c>
      <c r="E500" s="4" cm="1">
        <f t="array" ref="E500">_xlfn.XLOOKUP(A500&amp;B500,Лист2!A:A&amp;Лист2!B:B,Лист2!C:C,0,0)</f>
        <v>18</v>
      </c>
      <c r="F500" s="4" cm="1">
        <f t="array" ref="F500">_xlfn.XLOOKUP(A500&amp;B500,Лист2!A:A&amp;Лист2!B:B,Лист2!D:D,0,0)</f>
        <v>962</v>
      </c>
      <c r="G500" s="4" cm="1">
        <f t="array" ref="G500">_xlfn.XLOOKUP(A500&amp;B500,Лист2!A:A&amp;Лист2!B:B,Лист2!E:E,0,0)</f>
        <v>859</v>
      </c>
      <c r="H500" s="27">
        <f t="shared" si="14"/>
        <v>848.7</v>
      </c>
      <c r="I500">
        <f t="shared" si="15"/>
        <v>22</v>
      </c>
    </row>
    <row r="501" spans="1:9" ht="14.25" customHeight="1" x14ac:dyDescent="0.45">
      <c r="A501" s="9">
        <v>43983</v>
      </c>
      <c r="B501" s="5" t="s">
        <v>26</v>
      </c>
      <c r="C501" s="5">
        <v>4408.5</v>
      </c>
      <c r="D501" s="5">
        <v>410892</v>
      </c>
      <c r="E501" s="4" cm="1">
        <f t="array" ref="E501">_xlfn.XLOOKUP(A501&amp;B501,Лист2!A:A&amp;Лист2!B:B,Лист2!C:C,0,0)</f>
        <v>6</v>
      </c>
      <c r="F501" s="4" cm="1">
        <f t="array" ref="F501">_xlfn.XLOOKUP(A501&amp;B501,Лист2!A:A&amp;Лист2!B:B,Лист2!D:D,0,0)</f>
        <v>237</v>
      </c>
      <c r="G501" s="4" cm="1">
        <f t="array" ref="G501">_xlfn.XLOOKUP(A501&amp;B501,Лист2!A:A&amp;Лист2!B:B,Лист2!E:E,0,0)</f>
        <v>175</v>
      </c>
      <c r="H501" s="27">
        <f t="shared" si="14"/>
        <v>734.8</v>
      </c>
      <c r="I501">
        <f t="shared" si="15"/>
        <v>23</v>
      </c>
    </row>
    <row r="502" spans="1:9" ht="14.25" customHeight="1" x14ac:dyDescent="0.45">
      <c r="A502" s="8">
        <v>43980</v>
      </c>
      <c r="B502" s="3" t="s">
        <v>24</v>
      </c>
      <c r="C502" s="3">
        <v>9927</v>
      </c>
      <c r="D502" s="3">
        <v>850840.5</v>
      </c>
      <c r="E502" s="4" cm="1">
        <f t="array" ref="E502">_xlfn.XLOOKUP(A502&amp;B502,Лист2!A:A&amp;Лист2!B:B,Лист2!C:C,0,0)</f>
        <v>7</v>
      </c>
      <c r="F502" s="4" cm="1">
        <f t="array" ref="F502">_xlfn.XLOOKUP(A502&amp;B502,Лист2!A:A&amp;Лист2!B:B,Лист2!D:D,0,0)</f>
        <v>491</v>
      </c>
      <c r="G502" s="4" cm="1">
        <f t="array" ref="G502">_xlfn.XLOOKUP(A502&amp;B502,Лист2!A:A&amp;Лист2!B:B,Лист2!E:E,0,0)</f>
        <v>411</v>
      </c>
      <c r="H502" s="27">
        <f t="shared" si="14"/>
        <v>1418.1</v>
      </c>
      <c r="I502">
        <f t="shared" si="15"/>
        <v>22</v>
      </c>
    </row>
    <row r="503" spans="1:9" ht="14.25" customHeight="1" x14ac:dyDescent="0.45">
      <c r="A503" s="9">
        <v>43983</v>
      </c>
      <c r="B503" s="5" t="s">
        <v>24</v>
      </c>
      <c r="C503" s="5">
        <v>9474</v>
      </c>
      <c r="D503" s="5">
        <v>802447.5</v>
      </c>
      <c r="E503" s="4" cm="1">
        <f t="array" ref="E503">_xlfn.XLOOKUP(A503&amp;B503,Лист2!A:A&amp;Лист2!B:B,Лист2!C:C,0,0)</f>
        <v>7</v>
      </c>
      <c r="F503" s="4" cm="1">
        <f t="array" ref="F503">_xlfn.XLOOKUP(A503&amp;B503,Лист2!A:A&amp;Лист2!B:B,Лист2!D:D,0,0)</f>
        <v>500</v>
      </c>
      <c r="G503" s="4" cm="1">
        <f t="array" ref="G503">_xlfn.XLOOKUP(A503&amp;B503,Лист2!A:A&amp;Лист2!B:B,Лист2!E:E,0,0)</f>
        <v>418</v>
      </c>
      <c r="H503" s="27">
        <f t="shared" si="14"/>
        <v>1353.4</v>
      </c>
      <c r="I503">
        <f t="shared" si="15"/>
        <v>23</v>
      </c>
    </row>
    <row r="504" spans="1:9" ht="14.25" customHeight="1" x14ac:dyDescent="0.45">
      <c r="A504" s="8">
        <v>43980</v>
      </c>
      <c r="B504" s="3" t="s">
        <v>23</v>
      </c>
      <c r="C504" s="3">
        <v>16878</v>
      </c>
      <c r="D504" s="3">
        <v>1438255.5</v>
      </c>
      <c r="E504" s="4" cm="1">
        <f t="array" ref="E504">_xlfn.XLOOKUP(A504&amp;B504,Лист2!A:A&amp;Лист2!B:B,Лист2!C:C,0,0)</f>
        <v>18</v>
      </c>
      <c r="F504" s="4" cm="1">
        <f t="array" ref="F504">_xlfn.XLOOKUP(A504&amp;B504,Лист2!A:A&amp;Лист2!B:B,Лист2!D:D,0,0)</f>
        <v>1014</v>
      </c>
      <c r="G504" s="4" cm="1">
        <f t="array" ref="G504">_xlfn.XLOOKUP(A504&amp;B504,Лист2!A:A&amp;Лист2!B:B,Лист2!E:E,0,0)</f>
        <v>893</v>
      </c>
      <c r="H504" s="27">
        <f t="shared" si="14"/>
        <v>937.7</v>
      </c>
      <c r="I504">
        <f t="shared" si="15"/>
        <v>22</v>
      </c>
    </row>
    <row r="505" spans="1:9" ht="14.25" customHeight="1" x14ac:dyDescent="0.45">
      <c r="A505" s="10">
        <v>43983</v>
      </c>
      <c r="B505" s="6" t="s">
        <v>23</v>
      </c>
      <c r="C505" s="6">
        <v>14238</v>
      </c>
      <c r="D505" s="6">
        <v>1293219</v>
      </c>
      <c r="E505" s="4" cm="1">
        <f t="array" ref="E505">_xlfn.XLOOKUP(A505&amp;B505,Лист2!A:A&amp;Лист2!B:B,Лист2!C:C,0,0)</f>
        <v>18</v>
      </c>
      <c r="F505" s="4" cm="1">
        <f t="array" ref="F505">_xlfn.XLOOKUP(A505&amp;B505,Лист2!A:A&amp;Лист2!B:B,Лист2!D:D,0,0)</f>
        <v>923</v>
      </c>
      <c r="G505" s="4" cm="1">
        <f t="array" ref="G505">_xlfn.XLOOKUP(A505&amp;B505,Лист2!A:A&amp;Лист2!B:B,Лист2!E:E,0,0)</f>
        <v>824</v>
      </c>
      <c r="H505" s="27">
        <f t="shared" si="14"/>
        <v>791</v>
      </c>
      <c r="I505">
        <f t="shared" si="15"/>
        <v>23</v>
      </c>
    </row>
    <row r="506" spans="1:9" ht="14.25" customHeight="1" x14ac:dyDescent="0.45"/>
    <row r="507" spans="1:9" ht="14.25" customHeight="1" x14ac:dyDescent="0.45"/>
    <row r="508" spans="1:9" ht="14.25" customHeight="1" x14ac:dyDescent="0.45"/>
    <row r="509" spans="1:9" ht="14.25" customHeight="1" x14ac:dyDescent="0.45"/>
    <row r="510" spans="1:9" ht="14.25" customHeight="1" x14ac:dyDescent="0.45"/>
    <row r="511" spans="1:9" ht="14.25" customHeight="1" x14ac:dyDescent="0.45"/>
    <row r="512" spans="1:9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3984375" defaultRowHeight="15" customHeight="1" x14ac:dyDescent="0.45"/>
  <cols>
    <col min="1" max="1" width="10.3984375" customWidth="1"/>
    <col min="2" max="2" width="22.86328125" customWidth="1"/>
    <col min="3" max="3" width="22.73046875" customWidth="1"/>
    <col min="4" max="4" width="22.1328125" customWidth="1"/>
    <col min="5" max="5" width="25.3984375" customWidth="1"/>
    <col min="6" max="26" width="8.73046875" customWidth="1"/>
  </cols>
  <sheetData>
    <row r="1" spans="1:5" ht="14.25" customHeight="1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45">
      <c r="A2" s="7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45">
      <c r="A3" s="7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45">
      <c r="A4" s="7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45">
      <c r="A5" s="7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45">
      <c r="A6" s="7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45">
      <c r="A7" s="7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45">
      <c r="A8" s="7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45">
      <c r="A9" s="7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45">
      <c r="A10" s="7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45">
      <c r="A11" s="7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45">
      <c r="A12" s="7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45">
      <c r="A13" s="7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45">
      <c r="A14" s="7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45">
      <c r="A15" s="7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45">
      <c r="A16" s="7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45">
      <c r="A17" s="7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45">
      <c r="A18" s="7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45">
      <c r="A19" s="7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45">
      <c r="A20" s="7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45">
      <c r="A21" s="7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45">
      <c r="A22" s="7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45">
      <c r="A23" s="7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45">
      <c r="A24" s="7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45">
      <c r="A25" s="7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45">
      <c r="A26" s="7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45">
      <c r="A27" s="7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45">
      <c r="A28" s="7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45">
      <c r="A29" s="7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45">
      <c r="A30" s="7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45">
      <c r="A31" s="7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45">
      <c r="A32" s="7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45">
      <c r="A33" s="7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45">
      <c r="A34" s="7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45">
      <c r="A35" s="7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45">
      <c r="A36" s="7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45">
      <c r="A37" s="7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45">
      <c r="A38" s="7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45">
      <c r="A39" s="7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45">
      <c r="A40" s="7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45">
      <c r="A41" s="7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45">
      <c r="A42" s="7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45">
      <c r="A43" s="7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45">
      <c r="A44" s="7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45">
      <c r="A45" s="7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45">
      <c r="A46" s="7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45">
      <c r="A47" s="7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45">
      <c r="A48" s="7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45">
      <c r="A49" s="7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45">
      <c r="A50" s="7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45">
      <c r="A51" s="7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45">
      <c r="A52" s="7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45">
      <c r="A53" s="7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45">
      <c r="A54" s="7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45">
      <c r="A55" s="7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45">
      <c r="A56" s="7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45">
      <c r="A57" s="7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45">
      <c r="A58" s="7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45">
      <c r="A59" s="7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45">
      <c r="A60" s="7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45">
      <c r="A61" s="7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45">
      <c r="A62" s="7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45">
      <c r="A63" s="7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45">
      <c r="A64" s="7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45">
      <c r="A65" s="7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45">
      <c r="A66" s="7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45">
      <c r="A67" s="7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45">
      <c r="A68" s="7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45">
      <c r="A69" s="7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45">
      <c r="A70" s="7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45">
      <c r="A71" s="7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45">
      <c r="A72" s="7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45">
      <c r="A73" s="7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45">
      <c r="A74" s="7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45">
      <c r="A75" s="7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45">
      <c r="A76" s="7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45">
      <c r="A77" s="7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45">
      <c r="A78" s="7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45">
      <c r="A79" s="7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45">
      <c r="A80" s="7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45">
      <c r="A81" s="7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45">
      <c r="A82" s="7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45">
      <c r="A83" s="7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45">
      <c r="A84" s="7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45">
      <c r="A85" s="7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45">
      <c r="A86" s="7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45">
      <c r="A87" s="7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45">
      <c r="A88" s="7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45">
      <c r="A89" s="7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45">
      <c r="A90" s="7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45">
      <c r="A91" s="7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45">
      <c r="A92" s="7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45">
      <c r="A93" s="7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45">
      <c r="A94" s="7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45">
      <c r="A95" s="7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45">
      <c r="A96" s="7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45">
      <c r="A97" s="7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45">
      <c r="A98" s="7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45">
      <c r="A99" s="7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45">
      <c r="A100" s="7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45">
      <c r="A101" s="7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45">
      <c r="A102" s="7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45">
      <c r="A103" s="7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45">
      <c r="A104" s="7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45">
      <c r="A105" s="7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45">
      <c r="A106" s="7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45">
      <c r="A107" s="7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45">
      <c r="A108" s="7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45">
      <c r="A109" s="7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45">
      <c r="A110" s="7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45">
      <c r="A111" s="7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45">
      <c r="A112" s="7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45">
      <c r="A113" s="7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45">
      <c r="A114" s="7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45">
      <c r="A115" s="7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45">
      <c r="A116" s="7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45">
      <c r="A117" s="7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45">
      <c r="A118" s="7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45">
      <c r="A119" s="7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45">
      <c r="A120" s="7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45">
      <c r="A121" s="7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45">
      <c r="A122" s="7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45">
      <c r="A123" s="7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45">
      <c r="A124" s="7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45">
      <c r="A125" s="7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45">
      <c r="A126" s="7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45">
      <c r="A127" s="7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45">
      <c r="A128" s="7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45">
      <c r="A129" s="7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45">
      <c r="A130" s="7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45">
      <c r="A131" s="7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45">
      <c r="A132" s="7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45">
      <c r="A133" s="7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45">
      <c r="A134" s="7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45">
      <c r="A135" s="7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45">
      <c r="A136" s="7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45">
      <c r="A137" s="7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45">
      <c r="A138" s="7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45">
      <c r="A139" s="7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45">
      <c r="A140" s="7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45">
      <c r="A141" s="7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45">
      <c r="A142" s="7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45">
      <c r="A143" s="7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45">
      <c r="A144" s="7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45">
      <c r="A145" s="7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45">
      <c r="A146" s="7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45">
      <c r="A147" s="7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45">
      <c r="A148" s="7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45">
      <c r="A149" s="7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45">
      <c r="A150" s="7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45">
      <c r="A151" s="7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45">
      <c r="A152" s="7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45">
      <c r="A153" s="7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45">
      <c r="A154" s="7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45">
      <c r="A155" s="7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45">
      <c r="A156" s="7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45">
      <c r="A157" s="7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45">
      <c r="A158" s="7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45">
      <c r="A159" s="7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45">
      <c r="A160" s="7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45">
      <c r="A161" s="7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45">
      <c r="A162" s="7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45">
      <c r="A163" s="7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45">
      <c r="A164" s="7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45">
      <c r="A165" s="7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45">
      <c r="A166" s="7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45">
      <c r="A167" s="7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45">
      <c r="A168" s="7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45">
      <c r="A169" s="7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45">
      <c r="A170" s="7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45">
      <c r="A171" s="7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45">
      <c r="A172" s="7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45">
      <c r="A173" s="7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45">
      <c r="A174" s="7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45">
      <c r="A175" s="7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45">
      <c r="A176" s="7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45">
      <c r="A177" s="7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45">
      <c r="A178" s="7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45">
      <c r="A179" s="7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45">
      <c r="A180" s="7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45">
      <c r="A181" s="7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45">
      <c r="A182" s="7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45">
      <c r="A183" s="7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45">
      <c r="A184" s="7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45">
      <c r="A185" s="7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45">
      <c r="A186" s="7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45">
      <c r="A187" s="7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45">
      <c r="A188" s="7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45">
      <c r="A189" s="7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45">
      <c r="A190" s="7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45">
      <c r="A191" s="7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45">
      <c r="A192" s="7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45">
      <c r="A193" s="7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45">
      <c r="A194" s="7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45">
      <c r="A195" s="7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45">
      <c r="A196" s="7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45">
      <c r="A197" s="7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45">
      <c r="A198" s="7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45">
      <c r="A199" s="7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45">
      <c r="A200" s="7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45">
      <c r="A201" s="7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45">
      <c r="A202" s="7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45">
      <c r="A203" s="7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45">
      <c r="A204" s="7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45">
      <c r="A205" s="7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45">
      <c r="A206" s="7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45">
      <c r="A207" s="7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45">
      <c r="A208" s="7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45">
      <c r="A209" s="7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45">
      <c r="A210" s="7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45">
      <c r="A211" s="7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45">
      <c r="A212" s="7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45">
      <c r="A213" s="7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45">
      <c r="A214" s="7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45">
      <c r="A215" s="7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45">
      <c r="A216" s="7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45">
      <c r="A217" s="7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45">
      <c r="A218" s="7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45">
      <c r="A219" s="7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45">
      <c r="A220" s="7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45">
      <c r="A221" s="7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45">
      <c r="A222" s="7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45">
      <c r="A223" s="7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45">
      <c r="A224" s="7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45">
      <c r="A225" s="7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45">
      <c r="A226" s="7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45">
      <c r="A227" s="7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45">
      <c r="A228" s="7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45">
      <c r="A229" s="7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45">
      <c r="A230" s="7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45">
      <c r="A231" s="7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45">
      <c r="A232" s="7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45">
      <c r="A233" s="7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45">
      <c r="A234" s="7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45">
      <c r="A235" s="7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45">
      <c r="A236" s="7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45">
      <c r="A237" s="7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45">
      <c r="A238" s="7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45">
      <c r="A239" s="7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45">
      <c r="A240" s="7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45">
      <c r="A241" s="7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45">
      <c r="A242" s="7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45">
      <c r="A243" s="7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45">
      <c r="A244" s="7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45">
      <c r="A245" s="7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45">
      <c r="A246" s="7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45">
      <c r="A247" s="7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45">
      <c r="A248" s="7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45">
      <c r="A249" s="7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45">
      <c r="A250" s="7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45">
      <c r="A251" s="7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45">
      <c r="A252" s="7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45">
      <c r="A253" s="7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45">
      <c r="A254" s="7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45">
      <c r="A255" s="7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45">
      <c r="A256" s="7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45">
      <c r="A257" s="7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45">
      <c r="A258" s="7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45">
      <c r="A259" s="7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45">
      <c r="A260" s="7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45">
      <c r="A261" s="7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45">
      <c r="A262" s="7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45">
      <c r="A263" s="7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45">
      <c r="A264" s="7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45">
      <c r="A265" s="7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45">
      <c r="A266" s="7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45">
      <c r="A267" s="7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45">
      <c r="A268" s="7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45">
      <c r="A269" s="7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45">
      <c r="A270" s="7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45">
      <c r="A271" s="7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45">
      <c r="A272" s="7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45">
      <c r="A273" s="7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45">
      <c r="A274" s="7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45">
      <c r="A275" s="7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45">
      <c r="A276" s="7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45">
      <c r="A277" s="7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45">
      <c r="A278" s="7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45">
      <c r="A279" s="7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45">
      <c r="A280" s="7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45">
      <c r="A281" s="7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45">
      <c r="A282" s="7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45">
      <c r="A283" s="7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45">
      <c r="A284" s="7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45">
      <c r="A285" s="7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45">
      <c r="A286" s="7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45">
      <c r="A287" s="7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45">
      <c r="A288" s="7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45">
      <c r="A289" s="7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45">
      <c r="A290" s="7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45">
      <c r="A291" s="7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45">
      <c r="A292" s="7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45">
      <c r="A293" s="7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45">
      <c r="A294" s="7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45">
      <c r="A295" s="7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45">
      <c r="A296" s="7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45">
      <c r="A297" s="7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45">
      <c r="A298" s="7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45">
      <c r="A299" s="7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45">
      <c r="A300" s="7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45">
      <c r="A301" s="7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45">
      <c r="A302" s="7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45">
      <c r="A303" s="7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45">
      <c r="A304" s="7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45">
      <c r="A305" s="7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45">
      <c r="A306" s="7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45">
      <c r="A307" s="7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45">
      <c r="A308" s="7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45">
      <c r="A309" s="7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45">
      <c r="A310" s="7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45">
      <c r="A311" s="7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45">
      <c r="A312" s="7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45">
      <c r="A313" s="7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45">
      <c r="A314" s="7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45">
      <c r="A315" s="7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45">
      <c r="A316" s="7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45">
      <c r="A317" s="7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45">
      <c r="A318" s="7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45">
      <c r="A319" s="7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45">
      <c r="A320" s="7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45">
      <c r="A321" s="7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45">
      <c r="A322" s="7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45">
      <c r="A323" s="7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45">
      <c r="A324" s="7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45">
      <c r="A325" s="7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45">
      <c r="A326" s="7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45">
      <c r="A327" s="7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45">
      <c r="A328" s="7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45">
      <c r="A329" s="7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45">
      <c r="A330" s="7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45">
      <c r="A331" s="7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45">
      <c r="A332" s="7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45">
      <c r="A333" s="7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45">
      <c r="A334" s="7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45">
      <c r="A335" s="7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45">
      <c r="A336" s="7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45">
      <c r="A337" s="7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45">
      <c r="A338" s="7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45">
      <c r="A339" s="7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45">
      <c r="A340" s="7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45">
      <c r="A341" s="7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45">
      <c r="A342" s="7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45">
      <c r="A343" s="7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45">
      <c r="A344" s="7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45">
      <c r="A345" s="7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45">
      <c r="A346" s="7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45">
      <c r="A347" s="7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45">
      <c r="A348" s="7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45">
      <c r="A349" s="7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45">
      <c r="A350" s="7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45">
      <c r="A351" s="7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45">
      <c r="A352" s="7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45">
      <c r="A353" s="7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45">
      <c r="A354" s="7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45">
      <c r="A355" s="7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45">
      <c r="A356" s="7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45">
      <c r="A357" s="7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45">
      <c r="A358" s="7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45">
      <c r="A359" s="7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45">
      <c r="A360" s="7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45">
      <c r="A361" s="7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45">
      <c r="A362" s="7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45">
      <c r="A363" s="7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45">
      <c r="A364" s="7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45">
      <c r="A365" s="7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45">
      <c r="A366" s="7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45">
      <c r="A367" s="7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45">
      <c r="A368" s="7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45">
      <c r="A369" s="7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45">
      <c r="A370" s="7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45">
      <c r="A371" s="7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45">
      <c r="A372" s="7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45">
      <c r="A373" s="7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45">
      <c r="A374" s="7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45">
      <c r="A375" s="7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45">
      <c r="A376" s="7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45">
      <c r="A377" s="7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45">
      <c r="A378" s="7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45">
      <c r="A379" s="7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45">
      <c r="A380" s="7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45">
      <c r="A381" s="7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45">
      <c r="A382" s="7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45">
      <c r="A383" s="7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45">
      <c r="A384" s="7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45">
      <c r="A385" s="7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45">
      <c r="A386" s="7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45">
      <c r="A387" s="7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45">
      <c r="A388" s="7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45">
      <c r="A389" s="7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45">
      <c r="A390" s="7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45">
      <c r="A391" s="7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45">
      <c r="A392" s="7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45">
      <c r="A393" s="7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45">
      <c r="A394" s="7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45">
      <c r="A395" s="7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45">
      <c r="A396" s="7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45">
      <c r="A397" s="7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45">
      <c r="A398" s="7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45">
      <c r="A399" s="7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45">
      <c r="A400" s="7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45">
      <c r="A401" s="7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45">
      <c r="A402" s="7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45">
      <c r="A403" s="7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45">
      <c r="A404" s="7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45">
      <c r="A405" s="7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45">
      <c r="A406" s="7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45">
      <c r="A407" s="7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45">
      <c r="A408" s="7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45">
      <c r="A409" s="7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45">
      <c r="A410" s="7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45">
      <c r="A411" s="7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45">
      <c r="A412" s="7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45">
      <c r="A413" s="7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45">
      <c r="A414" s="7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45">
      <c r="A415" s="7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45">
      <c r="A416" s="7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45">
      <c r="A417" s="7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45">
      <c r="A418" s="7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45">
      <c r="A419" s="7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45">
      <c r="A420" s="7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45">
      <c r="A421" s="7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45">
      <c r="A422" s="7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45">
      <c r="A423" s="7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45">
      <c r="A424" s="7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45">
      <c r="A425" s="7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45">
      <c r="A426" s="7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45">
      <c r="A427" s="7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45">
      <c r="A428" s="7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45">
      <c r="A429" s="7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45">
      <c r="A430" s="7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45">
      <c r="A431" s="7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45">
      <c r="A432" s="7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45">
      <c r="A433" s="7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45">
      <c r="A434" s="7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45">
      <c r="A435" s="7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45">
      <c r="A436" s="7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45">
      <c r="A437" s="7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45">
      <c r="A438" s="7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45">
      <c r="A439" s="7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45">
      <c r="A440" s="7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45">
      <c r="A441" s="7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45">
      <c r="A442" s="7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45">
      <c r="A443" s="7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45">
      <c r="A444" s="7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45">
      <c r="A445" s="7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45">
      <c r="A446" s="7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45">
      <c r="A447" s="7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45">
      <c r="A448" s="7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45">
      <c r="A449" s="7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45">
      <c r="A450" s="7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45">
      <c r="A451" s="7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45">
      <c r="A452" s="7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45">
      <c r="A453" s="7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45">
      <c r="A454" s="7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45">
      <c r="A455" s="7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45">
      <c r="A456" s="7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45">
      <c r="A457" s="7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45">
      <c r="A458" s="7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45">
      <c r="A459" s="7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45">
      <c r="A460" s="7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45">
      <c r="A461" s="7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45">
      <c r="A462" s="7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45">
      <c r="A463" s="7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45">
      <c r="A464" s="7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45">
      <c r="A465" s="7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45">
      <c r="A466" s="7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45">
      <c r="A467" s="7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45">
      <c r="A468" s="7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45">
      <c r="A469" s="7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45">
      <c r="A470" s="7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45">
      <c r="A471" s="7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45">
      <c r="A472" s="7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45">
      <c r="A473" s="7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45">
      <c r="A474" s="7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45">
      <c r="A475" s="7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45">
      <c r="A476" s="7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45">
      <c r="A477" s="7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45">
      <c r="A478" s="7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45">
      <c r="A479" s="7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45">
      <c r="A480" s="7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45">
      <c r="A481" s="7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45">
      <c r="A482" s="7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45">
      <c r="A483" s="7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45">
      <c r="A484" s="7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45">
      <c r="A485" s="7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45">
      <c r="A486" s="7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45">
      <c r="A487" s="7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45">
      <c r="A488" s="7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45">
      <c r="A489" s="7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45">
      <c r="A490" s="7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45">
      <c r="A491" s="7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45">
      <c r="A492" s="7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45">
      <c r="A493" s="7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45">
      <c r="A494" s="7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45">
      <c r="A495" s="7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45">
      <c r="A496" s="7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45">
      <c r="A497" s="7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45">
      <c r="A498" s="7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45">
      <c r="A499" s="7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45">
      <c r="A500" s="7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45">
      <c r="A501" s="7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45">
      <c r="A502" s="7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45">
      <c r="A503" s="7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45">
      <c r="A504" s="7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45">
      <c r="A505" s="7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45"/>
    <row r="507" spans="1:5" ht="14.25" customHeight="1" x14ac:dyDescent="0.45"/>
    <row r="508" spans="1:5" ht="14.25" customHeight="1" x14ac:dyDescent="0.45"/>
    <row r="509" spans="1:5" ht="14.25" customHeight="1" x14ac:dyDescent="0.45"/>
    <row r="510" spans="1:5" ht="14.25" customHeight="1" x14ac:dyDescent="0.45"/>
    <row r="511" spans="1:5" ht="14.25" customHeight="1" x14ac:dyDescent="0.45"/>
    <row r="512" spans="1:5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A1:E505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Сводная таблица</vt:lpstr>
      <vt:lpstr>График по неделям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soldatovjohn@mail.ru</cp:lastModifiedBy>
  <dcterms:created xsi:type="dcterms:W3CDTF">2021-09-13T10:17:58Z</dcterms:created>
  <dcterms:modified xsi:type="dcterms:W3CDTF">2026-03-03T11:36:12Z</dcterms:modified>
</cp:coreProperties>
</file>